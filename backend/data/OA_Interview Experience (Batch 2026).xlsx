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eeksforgeeks.org/interview-experiences/epam-systems-interview-experience-for-jr-software-engineer/" TargetMode="External"/><Relationship Id="rId2" Type="http://schemas.openxmlformats.org/officeDocument/2006/relationships/hyperlink" Target="https://www.geeksforgeeks.org/interview-experiences/epam-systems-interview-experience-for-jr-software-engineer/" TargetMode="External"/><Relationship Id="rId3" Type="http://schemas.openxmlformats.org/officeDocument/2006/relationships/hyperlink" Target="https://www.geeksforgeeks.org/interview-experiences/epam-systems-interview-experience-for-jr-software-engineer/" TargetMode="External"/><Relationship Id="rId4" Type="http://schemas.openxmlformats.org/officeDocument/2006/relationships/hyperlink" Target="https://www.geeksforgeeks.org/interview-experiences/epam-systems-interview-experience-for-jr-software-engineer/" TargetMode="External"/><Relationship Id="rId5" Type="http://schemas.openxmlformats.org/officeDocument/2006/relationships/hyperlink" Target="https://www.geeksforgeeks.org/interview-experiences/epam-systems-interview-experience-for-jr-software-engineer/"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8.63"/>
    <col customWidth="1" min="4" max="4" width="30.13"/>
    <col customWidth="1" min="5" max="5" width="75.13"/>
    <col customWidth="1" min="6" max="6" width="33.63"/>
    <col customWidth="1" min="7" max="7" width="86.38"/>
    <col customWidth="1" min="8" max="8" width="82.75"/>
    <col customWidth="1" min="9" max="9" width="101.0"/>
    <col customWidth="1" min="10" max="10" width="120.0"/>
    <col customWidth="1" min="11" max="11" width="92.63"/>
    <col customWidth="1" min="12" max="12" width="217.63"/>
    <col customWidth="1" min="13" max="13" width="133.38"/>
  </cols>
  <sheetData>
    <row r="1">
      <c r="A1" s="1" t="str">
        <f>IFERROR(__xludf.DUMMYFUNCTION("QUERY(IMPORTRANGE(""https://docs.google.com/spreadsheets/d/18ZeEDYBy1qdwm1niQdk2kE6oveoRpMIgF4XmCXM3PLM/edit?gid=176625073#gid=176625073"", ""Form responses 1!A:O""), ""SELECT Col1, Col2, Col5, Col6, Col7, Col8, Col9, Col10, Col11, Col12, Col13, Col14, Co"&amp;"l15"", 1)"),"Timestamp")</f>
        <v>Timestamp</v>
      </c>
      <c r="B1" s="1" t="str">
        <f>IFERROR(__xludf.DUMMYFUNCTION("""COMPUTED_VALUE"""),"Your Full Name")</f>
        <v>Your Full Name</v>
      </c>
      <c r="C1" s="1" t="str">
        <f>IFERROR(__xludf.DUMMYFUNCTION("""COMPUTED_VALUE"""),"Batch")</f>
        <v>Batch</v>
      </c>
      <c r="D1" s="1" t="str">
        <f>IFERROR(__xludf.DUMMYFUNCTION("""COMPUTED_VALUE"""),"Company Name")</f>
        <v>Company Name</v>
      </c>
      <c r="E1" s="1" t="str">
        <f>IFERROR(__xludf.DUMMYFUNCTION("""COMPUTED_VALUE"""),"Test Pattern 
Example: 10 MCQ,  2 Coding Question etc.")</f>
        <v>Test Pattern 
Example: 10 MCQ,  2 Coding Question etc.</v>
      </c>
      <c r="F1" s="1" t="str">
        <f>IFERROR(__xludf.DUMMYFUNCTION("""COMPUTED_VALUE"""),"Test Duration (In minutes)
Example: 120")</f>
        <v>Test Duration (In minutes)
Example: 120</v>
      </c>
      <c r="G1" s="1" t="str">
        <f>IFERROR(__xludf.DUMMYFUNCTION("""COMPUTED_VALUE"""),"Question Topics
Example: 5 question from DBMS, 1 Coding Question from Graph etc.")</f>
        <v>Question Topics
Example: 5 question from DBMS, 1 Coding Question from Graph etc.</v>
      </c>
      <c r="H1" s="1" t="str">
        <f>IFERROR(__xludf.DUMMYFUNCTION("""COMPUTED_VALUE"""),"Interview Duration (In minutes)
Example: 120")</f>
        <v>Interview Duration (In minutes)
Example: 120</v>
      </c>
      <c r="I1" s="1" t="str">
        <f>IFERROR(__xludf.DUMMYFUNCTION("""COMPUTED_VALUE"""),"Topics Asked
Example: Graph Theory, Process Scheduling, Sliding Window etc.")</f>
        <v>Topics Asked
Example: Graph Theory, Process Scheduling, Sliding Window etc.</v>
      </c>
      <c r="J1" s="1" t="str">
        <f>IFERROR(__xludf.DUMMYFUNCTION("""COMPUTED_VALUE"""),"Coding Questions Asked
Example: 
Q1: Question 1 description
Q2: Question 2 description
....
....
Qn: Question n description")</f>
        <v>Coding Questions Asked
Example: 
Q1: Question 1 description
Q2: Question 2 description
....
....
Qn: Question n description</v>
      </c>
      <c r="K1" s="1" t="str">
        <f>IFERROR(__xludf.DUMMYFUNCTION("""COMPUTED_VALUE"""),"Core Subject Questions
Example: 
Q1: Question 1 description
Q2: Question 2 description
....
....
Qn: Question n description")</f>
        <v>Core Subject Questions
Example: 
Q1: Question 1 description
Q2: Question 2 description
....
....
Qn: Question n description</v>
      </c>
      <c r="L1" s="1" t="str">
        <f>IFERROR(__xludf.DUMMYFUNCTION("""COMPUTED_VALUE"""),"Project Discussion (Keep it point wise)
Example: 
1). Point 1 description
2). Point 2 description
.....
.....
n). Point n description")</f>
        <v>Project Discussion (Keep it point wise)
Example: 
1). Point 1 description
2). Point 2 description
.....
.....
n). Point n description</v>
      </c>
      <c r="M1" s="1" t="str">
        <f>IFERROR(__xludf.DUMMYFUNCTION("""COMPUTED_VALUE"""),"Miscellaneous (Optional)")</f>
        <v>Miscellaneous (Optional)</v>
      </c>
      <c r="N1" s="1"/>
      <c r="O1" s="1"/>
      <c r="P1" s="1"/>
      <c r="Q1" s="1"/>
      <c r="R1" s="1"/>
      <c r="S1" s="1"/>
      <c r="T1" s="1"/>
      <c r="U1" s="1"/>
      <c r="V1" s="1"/>
      <c r="W1" s="1"/>
      <c r="X1" s="1"/>
      <c r="Y1" s="1"/>
      <c r="Z1" s="1"/>
    </row>
    <row r="2">
      <c r="A2" s="2">
        <f>IFERROR(__xludf.DUMMYFUNCTION("""COMPUTED_VALUE"""),45934.49910991899)</f>
        <v>45934.49911</v>
      </c>
      <c r="B2" s="1" t="str">
        <f>IFERROR(__xludf.DUMMYFUNCTION("""COMPUTED_VALUE"""),"Nakul Gupta")</f>
        <v>Nakul Gupta</v>
      </c>
      <c r="C2" s="1">
        <f>IFERROR(__xludf.DUMMYFUNCTION("""COMPUTED_VALUE"""),2026.0)</f>
        <v>2026</v>
      </c>
      <c r="D2" s="1" t="str">
        <f>IFERROR(__xludf.DUMMYFUNCTION("""COMPUTED_VALUE"""),"Quantiphi Analytics")</f>
        <v>Quantiphi Analytics</v>
      </c>
      <c r="E2" s="1" t="str">
        <f>IFERROR(__xludf.DUMMYFUNCTION("""COMPUTED_VALUE"""),"R1 - MCQ + 3 DSA, R2 - 2 DSA")</f>
        <v>R1 - MCQ + 3 DSA, R2 - 2 DSA</v>
      </c>
      <c r="F2" s="1" t="str">
        <f>IFERROR(__xludf.DUMMYFUNCTION("""COMPUTED_VALUE"""),"R1 - 90, R2 - 45")</f>
        <v>R1 - 90, R2 - 45</v>
      </c>
      <c r="G2" s="1" t="str">
        <f>IFERROR(__xludf.DUMMYFUNCTION("""COMPUTED_VALUE"""),"Core Subjects, Aptitude, Reasoning, Binary Search - 1, DP -1, Graph -1, Greedy - 1, Tree - 1")</f>
        <v>Core Subjects, Aptitude, Reasoning, Binary Search - 1, DP -1, Graph -1, Greedy - 1, Tree - 1</v>
      </c>
      <c r="H2" s="1" t="str">
        <f>IFERROR(__xludf.DUMMYFUNCTION("""COMPUTED_VALUE"""),"R1 - 30 min, R2 - 30 min, HR -20 min")</f>
        <v>R1 - 30 min, R2 - 30 min, HR -20 min</v>
      </c>
      <c r="I2" s="1" t="str">
        <f>IFERROR(__xludf.DUMMYFUNCTION("""COMPUTED_VALUE"""),"R1 - Totally Internship based and Project Based, SQL Query 
R2 - Variation of count sort, AWS , RAG")</f>
        <v>R1 - Totally Internship based and Project Based, SQL Query 
R2 - Variation of count sort, AWS , RAG</v>
      </c>
      <c r="J2" s="1" t="str">
        <f>IFERROR(__xludf.DUMMYFUNCTION("""COMPUTED_VALUE"""),"Q1 - Find Unique Element
Q2 - House Robber
Q3 - Variation of Count Sort
Q4 - Find Second highest Salary (optimized)
(Approach + Code)")</f>
        <v>Q1 - Find Unique Element
Q2 - House Robber
Q3 - Variation of Count Sort
Q4 - Find Second highest Salary (optimized)
(Approach + Code)</v>
      </c>
      <c r="K2" s="1" t="str">
        <f>IFERROR(__xludf.DUMMYFUNCTION("""COMPUTED_VALUE"""),"Q1 - Job Scheduling")</f>
        <v>Q1 - Job Scheduling</v>
      </c>
      <c r="L2" s="1" t="str">
        <f>IFERROR(__xludf.DUMMYFUNCTION("""COMPUTED_VALUE"""),"1) Explain Project and its features in detail.
2) What is the purpose, why did you built it.
3) What TechStack used, why you used it.
4) Question on React Hooks, Promises etc.
5) How deployment is done using AWS.
6) Explain RAG and its working in your pro"&amp;"ject.
(Before this thorough discussion on my internship)")</f>
        <v>1) Explain Project and its features in detail.
2) What is the purpose, why did you built it.
3) What TechStack used, why you used it.
4) Question on React Hooks, Promises etc.
5) How deployment is done using AWS.
6) Explain RAG and its working in your project.
(Before this thorough discussion on my internship)</v>
      </c>
      <c r="M2" s="1" t="str">
        <f>IFERROR(__xludf.DUMMYFUNCTION("""COMPUTED_VALUE"""),"R2 was smaller for me as i have done previous work on AWS , RAG and ML model so the interviewer didn't ask me much.")</f>
        <v>R2 was smaller for me as i have done previous work on AWS , RAG and ML model so the interviewer didn't ask me much.</v>
      </c>
      <c r="N2" s="1"/>
      <c r="O2" s="1"/>
      <c r="P2" s="1"/>
      <c r="Q2" s="1"/>
      <c r="R2" s="1"/>
      <c r="S2" s="1"/>
      <c r="T2" s="1"/>
      <c r="U2" s="1"/>
      <c r="V2" s="1"/>
      <c r="W2" s="1"/>
      <c r="X2" s="1"/>
      <c r="Y2" s="1"/>
      <c r="Z2" s="1"/>
    </row>
    <row r="3">
      <c r="A3" s="2">
        <f>IFERROR(__xludf.DUMMYFUNCTION("""COMPUTED_VALUE"""),45934.50997461806)</f>
        <v>45934.50997</v>
      </c>
      <c r="B3" s="1" t="str">
        <f>IFERROR(__xludf.DUMMYFUNCTION("""COMPUTED_VALUE"""),"Mohd Rahban Ghani")</f>
        <v>Mohd Rahban Ghani</v>
      </c>
      <c r="C3" s="1">
        <f>IFERROR(__xludf.DUMMYFUNCTION("""COMPUTED_VALUE"""),2026.0)</f>
        <v>2026</v>
      </c>
      <c r="D3" s="1" t="str">
        <f>IFERROR(__xludf.DUMMYFUNCTION("""COMPUTED_VALUE"""),"Texas Instruments")</f>
        <v>Texas Instruments</v>
      </c>
      <c r="E3" s="1" t="str">
        <f>IFERROR(__xludf.DUMMYFUNCTION("""COMPUTED_VALUE"""),"2 parts mcq : 10 questions reasoning, 50 questions coding")</f>
        <v>2 parts mcq : 10 questions reasoning, 50 questions coding</v>
      </c>
      <c r="F3" s="1" t="str">
        <f>IFERROR(__xludf.DUMMYFUNCTION("""COMPUTED_VALUE"""),"70")</f>
        <v>70</v>
      </c>
      <c r="G3" s="1" t="str">
        <f>IFERROR(__xludf.DUMMYFUNCTION("""COMPUTED_VALUE"""),"Lots of topics from coding: Java, python, linux, finding output, dbms")</f>
        <v>Lots of topics from coding: Java, python, linux, finding output, dbms</v>
      </c>
      <c r="H3" s="1" t="str">
        <f>IFERROR(__xludf.DUMMYFUNCTION("""COMPUTED_VALUE"""),"120")</f>
        <v>120</v>
      </c>
      <c r="I3" s="1" t="str">
        <f>IFERROR(__xludf.DUMMYFUNCTION("""COMPUTED_VALUE"""),"array, trees, monotonic stack")</f>
        <v>array, trees, monotonic stack</v>
      </c>
      <c r="J3" s="1" t="str">
        <f>IFERROR(__xludf.DUMMYFUNCTION("""COMPUTED_VALUE"""),"Top view of tree,
next greater element, 
Finding minimum length of subarray of all 1s
Given a list of strings, group anagrams together")</f>
        <v>Top view of tree,
next greater element, 
Finding minimum length of subarray of all 1s
Given a list of strings, group anagrams together</v>
      </c>
      <c r="K3" s="1" t="str">
        <f>IFERROR(__xludf.DUMMYFUNCTION("""COMPUTED_VALUE"""),"Practical concept and example of normalisation in DBMS
System design view of DBMS and need of load balancer, read replicas and logging
Error debugging in a full stack application
Networking basics")</f>
        <v>Practical concept and example of normalisation in DBMS
System design view of DBMS and need of load balancer, read replicas and logging
Error debugging in a full stack application
Networking basics</v>
      </c>
      <c r="L3" s="1" t="str">
        <f>IFERROR(__xludf.DUMMYFUNCTION("""COMPUTED_VALUE"""),"Basic introduction of projects
Discussion about work done in GSOC and freelance work
Basics of Docker
Linux commands")</f>
        <v>Basic introduction of projects
Discussion about work done in GSOC and freelance work
Basics of Docker
Linux commands</v>
      </c>
      <c r="M3" s="1"/>
      <c r="N3" s="1"/>
      <c r="O3" s="1"/>
      <c r="P3" s="1"/>
      <c r="Q3" s="1"/>
      <c r="R3" s="1"/>
      <c r="S3" s="1"/>
      <c r="T3" s="1"/>
      <c r="U3" s="1"/>
      <c r="V3" s="1"/>
      <c r="W3" s="1"/>
      <c r="X3" s="1"/>
      <c r="Y3" s="1"/>
      <c r="Z3" s="1"/>
    </row>
    <row r="4">
      <c r="A4" s="2">
        <f>IFERROR(__xludf.DUMMYFUNCTION("""COMPUTED_VALUE"""),45934.68414710648)</f>
        <v>45934.68415</v>
      </c>
      <c r="B4" s="1" t="str">
        <f>IFERROR(__xludf.DUMMYFUNCTION("""COMPUTED_VALUE"""),"Arup Paul")</f>
        <v>Arup Paul</v>
      </c>
      <c r="C4" s="1">
        <f>IFERROR(__xludf.DUMMYFUNCTION("""COMPUTED_VALUE"""),2026.0)</f>
        <v>2026</v>
      </c>
      <c r="D4" s="1" t="str">
        <f>IFERROR(__xludf.DUMMYFUNCTION("""COMPUTED_VALUE"""),"Quantiphi Analytics")</f>
        <v>Quantiphi Analytics</v>
      </c>
      <c r="E4" s="1" t="str">
        <f>IFERROR(__xludf.DUMMYFUNCTION("""COMPUTED_VALUE"""),"OA Round 1 - Virtual (3 Coding Questions &amp; MCQs) + OA Round 2 - CCC (2 Coding Questions)")</f>
        <v>OA Round 1 - Virtual (3 Coding Questions &amp; MCQs) + OA Round 2 - CCC (2 Coding Questions)</v>
      </c>
      <c r="F4" s="1" t="str">
        <f>IFERROR(__xludf.DUMMYFUNCTION("""COMPUTED_VALUE"""),"120 + 60")</f>
        <v>120 + 60</v>
      </c>
      <c r="G4" s="1" t="str">
        <f>IFERROR(__xludf.DUMMYFUNCTION("""COMPUTED_VALUE"""),"MCQ: Aptitude, Computer Fundamentals and Verbal ability 
Coding: Binary Search, DP, Graph, Array")</f>
        <v>MCQ: Aptitude, Computer Fundamentals and Verbal ability 
Coding: Binary Search, DP, Graph, Array</v>
      </c>
      <c r="H4" s="1" t="str">
        <f>IFERROR(__xludf.DUMMYFUNCTION("""COMPUTED_VALUE"""),"Round 1(Technical-Virtual): 60, Round 2(Technical-In Person): 30, Round 3(HR-In Person): 30")</f>
        <v>Round 1(Technical-Virtual): 60, Round 2(Technical-In Person): 30, Round 3(HR-In Person): 30</v>
      </c>
      <c r="I4" s="1" t="str">
        <f>IFERROR(__xludf.DUMMYFUNCTION("""COMPUTED_VALUE"""),"DBMS, SQL, Python, Machine Learning")</f>
        <v>DBMS, SQL, Python, Machine Learning</v>
      </c>
      <c r="J4" s="1" t="str">
        <f>IFERROR(__xludf.DUMMYFUNCTION("""COMPUTED_VALUE"""),"Python: Store any number of elements in a list through user input and return the second largest value. (I was asked to do this using 3 approaches)
SQL: Create a database, Create an employee table, Insert values and display second highest salary.
DSA: As m"&amp;"y resume was ML based they don't ask any DSA question to me.")</f>
        <v>Python: Store any number of elements in a list through user input and return the second largest value. (I was asked to do this using 3 approaches)
SQL: Create a database, Create an employee table, Insert values and display second highest salary.
DSA: As my resume was ML based they don't ask any DSA question to me.</v>
      </c>
      <c r="K4" s="1" t="str">
        <f>IFERROR(__xludf.DUMMYFUNCTION("""COMPUTED_VALUE"""),"DBMS: ACID, Join Operations, Having vs Where, Delete vs Drop
Python: List vs Tuple, Mutable vs Immutable ")</f>
        <v>DBMS: ACID, Join Operations, Having vs Where, Delete vs Drop
Python: List vs Tuple, Mutable vs Immutable </v>
      </c>
      <c r="L4" s="1" t="str">
        <f>IFERROR(__xludf.DUMMYFUNCTION("""COMPUTED_VALUE"""),"- Objective of the project
- Workflow of the project
- Challenges faced during project building
- Perform similarity search manually without using any inbuilt function
- How your project is different from the existing applications")</f>
        <v>- Objective of the project
- Workflow of the project
- Challenges faced during project building
- Perform similarity search manually without using any inbuilt function
- How your project is different from the existing applications</v>
      </c>
      <c r="M4" s="1" t="str">
        <f>IFERROR(__xludf.DUMMYFUNCTION("""COMPUTED_VALUE"""),"Round 1: It was based on Computer fundamentals, Basic coding and Domain knowledge of your area of interest.
Round 2: Completely project based in depth.
Round 3: HR round")</f>
        <v>Round 1: It was based on Computer fundamentals, Basic coding and Domain knowledge of your area of interest.
Round 2: Completely project based in depth.
Round 3: HR round</v>
      </c>
      <c r="N4" s="1"/>
      <c r="O4" s="1"/>
      <c r="P4" s="1"/>
      <c r="Q4" s="1"/>
      <c r="R4" s="1"/>
      <c r="S4" s="1"/>
      <c r="T4" s="1"/>
      <c r="U4" s="1"/>
      <c r="V4" s="1"/>
      <c r="W4" s="1"/>
      <c r="X4" s="1"/>
      <c r="Y4" s="1"/>
      <c r="Z4" s="1"/>
    </row>
    <row r="5">
      <c r="A5" s="2">
        <f>IFERROR(__xludf.DUMMYFUNCTION("""COMPUTED_VALUE"""),45934.84921368055)</f>
        <v>45934.84921</v>
      </c>
      <c r="B5" s="1" t="str">
        <f>IFERROR(__xludf.DUMMYFUNCTION("""COMPUTED_VALUE"""),"Jagannath Nayak ")</f>
        <v>Jagannath Nayak </v>
      </c>
      <c r="C5" s="1">
        <f>IFERROR(__xludf.DUMMYFUNCTION("""COMPUTED_VALUE"""),2026.0)</f>
        <v>2026</v>
      </c>
      <c r="D5" s="1" t="str">
        <f>IFERROR(__xludf.DUMMYFUNCTION("""COMPUTED_VALUE"""),"EPAM Systems ")</f>
        <v>EPAM Systems </v>
      </c>
      <c r="E5" s="1" t="str">
        <f>IFERROR(__xludf.DUMMYFUNCTION("""COMPUTED_VALUE"""),"25 MCQ, 2 Coding questions ")</f>
        <v>25 MCQ, 2 Coding questions </v>
      </c>
      <c r="F5" s="1" t="str">
        <f>IFERROR(__xludf.DUMMYFUNCTION("""COMPUTED_VALUE"""),"90 minutes ")</f>
        <v>90 minutes </v>
      </c>
      <c r="G5" s="1" t="str">
        <f>IFERROR(__xludf.DUMMYFUNCTION("""COMPUTED_VALUE"""),"10 Aptitude, 15 From Core Subjects, 1 question from Graph, 1 from Dynamic Programming ")</f>
        <v>10 Aptitude, 15 From Core Subjects, 1 question from Graph, 1 from Dynamic Programming </v>
      </c>
      <c r="H5" s="1" t="str">
        <f>IFERROR(__xludf.DUMMYFUNCTION("""COMPUTED_VALUE"""),"60")</f>
        <v>60</v>
      </c>
      <c r="I5" s="1" t="str">
        <f>IFERROR(__xludf.DUMMYFUNCTION("""COMPUTED_VALUE"""),"DBMS,Dynamic Programming, Tree , Operating System ")</f>
        <v>DBMS,Dynamic Programming, Tree , Operating System </v>
      </c>
      <c r="J5" s="1" t="str">
        <f>IFERROR(__xludf.DUMMYFUNCTION("""COMPUTED_VALUE"""),"Q1:Print Longest Palindromic Substring 
Q2: House Robber 2 
Q3: Given a tree check whether BST or not
Q4: Consumer Producer problem 
")</f>
        <v>Q1:Print Longest Palindromic Substring 
Q2: House Robber 2 
Q3: Given a tree check whether BST or not
Q4: Consumer Producer problem 
</v>
      </c>
      <c r="K5" s="1" t="str">
        <f>IFERROR(__xludf.DUMMYFUNCTION("""COMPUTED_VALUE"""),"Q1: Indexing in MySQL
Q2: Joins, and types 
Q3: Normalisation 
Q4: SQL queries ")</f>
        <v>Q1: Indexing in MySQL
Q2: Joins, and types 
Q3: Normalisation 
Q4: SQL queries </v>
      </c>
      <c r="L5" s="1" t="str">
        <f>IFERROR(__xludf.DUMMYFUNCTION("""COMPUTED_VALUE"""),"1) Integrated Razorpay in my project, asked about Integration Process 
2) Used GenAI , asked about Langchain and GenAI")</f>
        <v>1) Integrated Razorpay in my project, asked about Integration Process 
2) Used GenAI , asked about Langchain and GenAI</v>
      </c>
      <c r="M5" s="1"/>
      <c r="N5" s="1"/>
      <c r="O5" s="1"/>
      <c r="P5" s="1"/>
      <c r="Q5" s="1"/>
      <c r="R5" s="1"/>
      <c r="S5" s="1"/>
      <c r="T5" s="1"/>
      <c r="U5" s="1"/>
      <c r="V5" s="1"/>
      <c r="W5" s="1"/>
      <c r="X5" s="1"/>
      <c r="Y5" s="1"/>
      <c r="Z5" s="1"/>
    </row>
    <row r="6">
      <c r="A6" s="2">
        <f>IFERROR(__xludf.DUMMYFUNCTION("""COMPUTED_VALUE"""),45935.4193609375)</f>
        <v>45935.41936</v>
      </c>
      <c r="B6" s="1" t="str">
        <f>IFERROR(__xludf.DUMMYFUNCTION("""COMPUTED_VALUE"""),"Arpan")</f>
        <v>Arpan</v>
      </c>
      <c r="C6" s="1">
        <f>IFERROR(__xludf.DUMMYFUNCTION("""COMPUTED_VALUE"""),2026.0)</f>
        <v>2026</v>
      </c>
      <c r="D6" s="1" t="str">
        <f>IFERROR(__xludf.DUMMYFUNCTION("""COMPUTED_VALUE"""),"Texas Instruments ")</f>
        <v>Texas Instruments </v>
      </c>
      <c r="E6" s="1" t="str">
        <f>IFERROR(__xludf.DUMMYFUNCTION("""COMPUTED_VALUE"""),"55 MCQ")</f>
        <v>55 MCQ</v>
      </c>
      <c r="F6" s="1" t="str">
        <f>IFERROR(__xludf.DUMMYFUNCTION("""COMPUTED_VALUE"""),"75")</f>
        <v>75</v>
      </c>
      <c r="G6" s="1" t="str">
        <f>IFERROR(__xludf.DUMMYFUNCTION("""COMPUTED_VALUE"""),"15 from Aptitude and Reasoning, 40 (evenly distributed) from Languages (C++, Java and Python) and theory subjects.")</f>
        <v>15 from Aptitude and Reasoning, 40 (evenly distributed) from Languages (C++, Java and Python) and theory subjects.</v>
      </c>
      <c r="H6" s="1" t="str">
        <f>IFERROR(__xludf.DUMMYFUNCTION("""COMPUTED_VALUE"""),"45")</f>
        <v>45</v>
      </c>
      <c r="I6" s="1" t="str">
        <f>IFERROR(__xludf.DUMMYFUNCTION("""COMPUTED_VALUE"""),"Arrays ")</f>
        <v>Arrays </v>
      </c>
      <c r="J6" s="1" t="str">
        <f>IFERROR(__xludf.DUMMYFUNCTION("""COMPUTED_VALUE"""),"Q1: Kadane's Algorithm ")</f>
        <v>Q1: Kadane's Algorithm </v>
      </c>
      <c r="K6" s="1" t="str">
        <f>IFERROR(__xludf.DUMMYFUNCTION("""COMPUTED_VALUE"""),"Q1: TCP vs UDP. Which one is used for video streaming?
Q2: Explain ARP and RARP Protocols.
Q3: MAC vs IP address.
Q4: Explain polymorphism. What are the differences between C++ and Java if both are OOPs based languages.
Q5: Virtual vs Pure Virtual functio"&amp;"ns.
Q6: What is kernel?
Q7: Which commands are used in Linux for the following:
a. Search for a particular pattern.
b. View contents of a file.
c. Append something at the end of file.
Q8: chmod vs chown command. What does chmod 755 means?
Q9: Which system"&amp;" do you prefer Ubuntu or Wndows? Why?
Q10: Which GitHub command is used to create a new branch and which is used to change to already existing branch?")</f>
        <v>Q1: TCP vs UDP. Which one is used for video streaming?
Q2: Explain ARP and RARP Protocols.
Q3: MAC vs IP address.
Q4: Explain polymorphism. What are the differences between C++ and Java if both are OOPs based languages.
Q5: Virtual vs Pure Virtual functions.
Q6: What is kernel?
Q7: Which commands are used in Linux for the following:
a. Search for a particular pattern.
b. View contents of a file.
c. Append something at the end of file.
Q8: chmod vs chown command. What does chmod 755 means?
Q9: Which system do you prefer Ubuntu or Wndows? Why?
Q10: Which GitHub command is used to create a new branch and which is used to change to already existing branch?</v>
      </c>
      <c r="L6" s="1" t="str">
        <f>IFERROR(__xludf.DUMMYFUNCTION("""COMPUTED_VALUE"""),"1). Asked which one is my favourite project among the three mentioned projects in resume. I answered chat app (A scalable app that used Redis and Kafka for scalability, MongoDb for persistence, Socket.io for real time communication and docker to run every"&amp;"thing regardless of environment).
2). Asked to explain the high level architecture of the project.
3). Asked how scalability is ensured.
4). Asked why I used docker.
5). What is the role of redis.
6). What will happen if redis service goes down? How can y"&amp;"ou manage redis unavailability?
7). Why Kafka layer is added before the DB? Why not directly store data in DB?
8). Asked if I know about RabbitMQ. Then asked why used Kafka over RabbitMQ.
9). What is a socket?
10). Asked if my application is broadcasting "&amp;"or unicasting the message sent by a user.
11). How only group members can see the message sent in the group? Can anyone outside the group intercept/read the message sent in group.
12). Moved to second project which is a flight management system based on m"&amp;"icroservices architecture. Asked what are advantages of microservices architecture and why I used it?
13). Asked how security is ensured.
14). Asked if I have exposed every API end point publicly. Answered no. Then asked why not.
15) What is MVC model?
16"&amp;"). What are Rest APIs and why are they so popular? What are some other types of APIs?")</f>
        <v>1). Asked which one is my favourite project among the three mentioned projects in resume. I answered chat app (A scalable app that used Redis and Kafka for scalability, MongoDb for persistence, Socket.io for real time communication and docker to run everything regardless of environment).
2). Asked to explain the high level architecture of the project.
3). Asked how scalability is ensured.
4). Asked why I used docker.
5). What is the role of redis.
6). What will happen if redis service goes down? How can you manage redis unavailability?
7). Why Kafka layer is added before the DB? Why not directly store data in DB?
8). Asked if I know about RabbitMQ. Then asked why used Kafka over RabbitMQ.
9). What is a socket?
10). Asked if my application is broadcasting or unicasting the message sent by a user.
11). How only group members can see the message sent in the group? Can anyone outside the group intercept/read the message sent in group.
12). Moved to second project which is a flight management system based on microservices architecture. Asked what are advantages of microservices architecture and why I used it?
13). Asked how security is ensured.
14). Asked if I have exposed every API end point publicly. Answered no. Then asked why not.
15) What is MVC model?
16). What are Rest APIs and why are they so popular? What are some other types of APIs?</v>
      </c>
      <c r="M6" s="1" t="str">
        <f>IFERROR(__xludf.DUMMYFUNCTION("""COMPUTED_VALUE"""),"Asked do you know Python. I answered I'm familiar with it. Then asked can you learn it. I answered yes, I can. Then asked how quickly you can learn it. I answered pretty quickly.")</f>
        <v>Asked do you know Python. I answered I'm familiar with it. Then asked can you learn it. I answered yes, I can. Then asked how quickly you can learn it. I answered pretty quickly.</v>
      </c>
      <c r="N6" s="1"/>
      <c r="O6" s="1"/>
      <c r="P6" s="1"/>
      <c r="Q6" s="1"/>
      <c r="R6" s="1"/>
      <c r="S6" s="1"/>
      <c r="T6" s="1"/>
      <c r="U6" s="1"/>
      <c r="V6" s="1"/>
      <c r="W6" s="1"/>
      <c r="X6" s="1"/>
      <c r="Y6" s="1"/>
      <c r="Z6" s="1"/>
    </row>
    <row r="7">
      <c r="A7" s="2">
        <f>IFERROR(__xludf.DUMMYFUNCTION("""COMPUTED_VALUE"""),45938.719653657405)</f>
        <v>45938.71965</v>
      </c>
      <c r="B7" s="1" t="str">
        <f>IFERROR(__xludf.DUMMYFUNCTION("""COMPUTED_VALUE"""),"Priyanshi Palariya ")</f>
        <v>Priyanshi Palariya </v>
      </c>
      <c r="C7" s="1">
        <f>IFERROR(__xludf.DUMMYFUNCTION("""COMPUTED_VALUE"""),2026.0)</f>
        <v>2026</v>
      </c>
      <c r="D7" s="1" t="str">
        <f>IFERROR(__xludf.DUMMYFUNCTION("""COMPUTED_VALUE"""),"Optum")</f>
        <v>Optum</v>
      </c>
      <c r="E7" s="1" t="str">
        <f>IFERROR(__xludf.DUMMYFUNCTION("""COMPUTED_VALUE"""),"Full stack web development ")</f>
        <v>Full stack web development </v>
      </c>
      <c r="F7" s="1" t="str">
        <f>IFERROR(__xludf.DUMMYFUNCTION("""COMPUTED_VALUE"""),"60 min")</f>
        <v>60 min</v>
      </c>
      <c r="G7" s="1" t="str">
        <f>IFERROR(__xludf.DUMMYFUNCTION("""COMPUTED_VALUE"""),"Introducing functionality in backend then frontend 
Total 4 modules, with each one dependent on previous one.
Api creation 
Db involvement 
You can use  one of the mentioned tech stack 
Java dev(spring+angular+MyBatis)
Mern(react+express+sequelize)
.net
P"&amp;"ython (django)")</f>
        <v>Introducing functionality in backend then frontend 
Total 4 modules, with each one dependent on previous one.
Api creation 
Db involvement 
You can use  one of the mentioned tech stack 
Java dev(spring+angular+MyBatis)
Mern(react+express+sequelize)
.net
Python (django)</v>
      </c>
      <c r="H7" s="1" t="str">
        <f>IFERROR(__xludf.DUMMYFUNCTION("""COMPUTED_VALUE"""),"60")</f>
        <v>60</v>
      </c>
      <c r="I7" s="1" t="str">
        <f>IFERROR(__xludf.DUMMYFUNCTION("""COMPUTED_VALUE"""),"stack, APIs, solid principal , web crawlers ")</f>
        <v>stack, APIs, solid principal , web crawlers </v>
      </c>
      <c r="J7" s="1" t="str">
        <f>IFERROR(__xludf.DUMMYFUNCTION("""COMPUTED_VALUE"""),"Balanced paranthesis , function for working of web crawlers ")</f>
        <v>Balanced paranthesis , function for working of web crawlers </v>
      </c>
      <c r="K7" s="1" t="str">
        <f>IFERROR(__xludf.DUMMYFUNCTION("""COMPUTED_VALUE"""),"SOLID principal, REST APIs, difference between PUT and POST http method ")</f>
        <v>SOLID principal, REST APIs, difference between PUT and POST http method </v>
      </c>
      <c r="L7" s="1" t="str">
        <f>IFERROR(__xludf.DUMMYFUNCTION("""COMPUTED_VALUE"""),"No project discussion with me, but depends on the interviewer as projects were discussed with some ")</f>
        <v>No project discussion with me, but depends on the interviewer as projects were discussed with some </v>
      </c>
      <c r="M7" s="1" t="str">
        <f>IFERROR(__xludf.DUMMYFUNCTION("""COMPUTED_VALUE"""),"Strength and weakness ")</f>
        <v>Strength and weakness </v>
      </c>
      <c r="N7" s="1"/>
      <c r="O7" s="1"/>
      <c r="P7" s="1"/>
      <c r="Q7" s="1"/>
      <c r="R7" s="1"/>
      <c r="S7" s="1"/>
      <c r="T7" s="1"/>
      <c r="U7" s="1"/>
      <c r="V7" s="1"/>
      <c r="W7" s="1"/>
      <c r="X7" s="1"/>
      <c r="Y7" s="1"/>
      <c r="Z7" s="1"/>
    </row>
    <row r="8">
      <c r="A8" s="2">
        <f>IFERROR(__xludf.DUMMYFUNCTION("""COMPUTED_VALUE"""),45970.9946603125)</f>
        <v>45970.99466</v>
      </c>
      <c r="B8" s="1" t="str">
        <f>IFERROR(__xludf.DUMMYFUNCTION("""COMPUTED_VALUE"""),"Uddhav Pawar")</f>
        <v>Uddhav Pawar</v>
      </c>
      <c r="C8" s="1">
        <f>IFERROR(__xludf.DUMMYFUNCTION("""COMPUTED_VALUE"""),2026.0)</f>
        <v>2026</v>
      </c>
      <c r="D8" s="1" t="str">
        <f>IFERROR(__xludf.DUMMYFUNCTION("""COMPUTED_VALUE"""),"KANERIKA")</f>
        <v>KANERIKA</v>
      </c>
      <c r="E8" s="1" t="str">
        <f>IFERROR(__xludf.DUMMYFUNCTION("""COMPUTED_VALUE"""),"70 MCQ (4 sections)")</f>
        <v>70 MCQ (4 sections)</v>
      </c>
      <c r="F8" s="1" t="str">
        <f>IFERROR(__xludf.DUMMYFUNCTION("""COMPUTED_VALUE"""),"60min")</f>
        <v>60min</v>
      </c>
      <c r="G8" s="1" t="str">
        <f>IFERROR(__xludf.DUMMYFUNCTION("""COMPUTED_VALUE"""),"Aptitude, LR, Verbal, Technical")</f>
        <v>Aptitude, LR, Verbal, Technical</v>
      </c>
      <c r="H8" s="1" t="str">
        <f>IFERROR(__xludf.DUMMYFUNCTION("""COMPUTED_VALUE"""),"4 interviews(technical 1(40-45), technical 2(30-35), HR round(15-20), CEO round(25-30))")</f>
        <v>4 interviews(technical 1(40-45), technical 2(30-35), HR round(15-20), CEO round(25-30))</v>
      </c>
      <c r="I8" s="1" t="str">
        <f>IFERROR(__xludf.DUMMYFUNCTION("""COMPUTED_VALUE"""),"Array, Binary search, LL, Tree")</f>
        <v>Array, Binary search, LL, Tree</v>
      </c>
      <c r="J8" s="1" t="str">
        <f>IFERROR(__xludf.DUMMYFUNCTION("""COMPUTED_VALUE"""),"Q1.Search element in an infinite array
Q2.Swap alternate node
Q3.2 sum
Q4.zig-zag traversal in tree")</f>
        <v>Q1.Search element in an infinite array
Q2.Swap alternate node
Q3.2 sum
Q4.zig-zag traversal in tree</v>
      </c>
      <c r="K8" s="1" t="str">
        <f>IFERROR(__xludf.DUMMYFUNCTION("""COMPUTED_VALUE"""),"Q1.oops(abstract class , interface with real life example)
Q2.sql(question from joins)
Q3.array was given write the sql query + cpp solution find the second largest no.(sql(highest salary variant).
Q4.system design basics(CDN, how cdn works, what happend "&amp;"when you write enter a url)
Q5.data modeling.")</f>
        <v>Q1.oops(abstract class , interface with real life example)
Q2.sql(question from joins)
Q3.array was given write the sql query + cpp solution find the second largest no.(sql(highest salary variant).
Q4.system design basics(CDN, how cdn works, what happend when you write enter a url)
Q5.data modeling.</v>
      </c>
      <c r="L8" s="1" t="str">
        <f>IFERROR(__xludf.DUMMYFUNCTION("""COMPUTED_VALUE"""),"Q1.Explain project in breif
Q2.which gemini model you have used
Q3.Run project show the demo
Q4.jwt tokens, cookies , session, api, token, oauth
Q5.whats unique in your project
Q6.Tell the business point of view(how it will help business to grow)
Q7.Scala"&amp;"bility and more.....
")</f>
        <v>Q1.Explain project in breif
Q2.which gemini model you have used
Q3.Run project show the demo
Q4.jwt tokens, cookies , session, api, token, oauth
Q5.whats unique in your project
Q6.Tell the business point of view(how it will help business to grow)
Q7.Scalability and more.....
</v>
      </c>
      <c r="M8" s="1" t="str">
        <f>IFERROR(__xludf.DUMMYFUNCTION("""COMPUTED_VALUE"""),"HR Ques + Technical rounds
Q1.Tell me something which is not in your resume(I told about drummer at music club + sports and etc) asked in technical 1 round
Q2.situational based questions(An employee doing illegal activities in office and much more)
Q3.fa"&amp;"mily background
Q4.Asked me about my travel experiences, musical journey.
Q5. what my friends think about me.
Q6.Describe when you work in team
Q7.How do you keep update youself
Q9.How do you face challenges
Q10.strengths
overall good experience
")</f>
        <v>HR Ques + Technical rounds
Q1.Tell me something which is not in your resume(I told about drummer at music club + sports and etc) asked in technical 1 round
Q2.situational based questions(An employee doing illegal activities in office and much more)
Q3.family background
Q4.Asked me about my travel experiences, musical journey.
Q5. what my friends think about me.
Q6.Describe when you work in team
Q7.How do you keep update youself
Q9.How do you face challenges
Q10.strengths
overall good experience
</v>
      </c>
      <c r="N8" s="1"/>
      <c r="O8" s="1"/>
      <c r="P8" s="1"/>
      <c r="Q8" s="1"/>
      <c r="R8" s="1"/>
      <c r="S8" s="1"/>
      <c r="T8" s="1"/>
      <c r="U8" s="1"/>
      <c r="V8" s="1"/>
      <c r="W8" s="1"/>
      <c r="X8" s="1"/>
      <c r="Y8" s="1"/>
      <c r="Z8" s="1"/>
    </row>
    <row r="9">
      <c r="A9" s="2">
        <f>IFERROR(__xludf.DUMMYFUNCTION("""COMPUTED_VALUE"""),45978.782961770834)</f>
        <v>45978.78296</v>
      </c>
      <c r="B9" s="1" t="str">
        <f>IFERROR(__xludf.DUMMYFUNCTION("""COMPUTED_VALUE"""),"Sakshi Solanki")</f>
        <v>Sakshi Solanki</v>
      </c>
      <c r="C9" s="1">
        <f>IFERROR(__xludf.DUMMYFUNCTION("""COMPUTED_VALUE"""),2026.0)</f>
        <v>2026</v>
      </c>
      <c r="D9" s="1" t="str">
        <f>IFERROR(__xludf.DUMMYFUNCTION("""COMPUTED_VALUE"""),"Qolaris Data")</f>
        <v>Qolaris Data</v>
      </c>
      <c r="E9" s="1" t="str">
        <f>IFERROR(__xludf.DUMMYFUNCTION("""COMPUTED_VALUE"""),"50 mcq")</f>
        <v>50 mcq</v>
      </c>
      <c r="F9" s="1" t="str">
        <f>IFERROR(__xludf.DUMMYFUNCTION("""COMPUTED_VALUE"""),"120")</f>
        <v>120</v>
      </c>
      <c r="G9" s="1" t="str">
        <f>IFERROR(__xludf.DUMMYFUNCTION("""COMPUTED_VALUE"""),"quants, logical reasoning, coding round to build application using nodejs, react")</f>
        <v>quants, logical reasoning, coding round to build application using nodejs, react</v>
      </c>
      <c r="H9" s="1" t="str">
        <f>IFERROR(__xludf.DUMMYFUNCTION("""COMPUTED_VALUE"""),"20-30")</f>
        <v>20-30</v>
      </c>
      <c r="I9" s="1" t="str">
        <f>IFERROR(__xludf.DUMMYFUNCTION("""COMPUTED_VALUE"""),"microservices, projects that i have made, asked about circuit breaker, question on scaling the project like system design ques basically")</f>
        <v>microservices, projects that i have made, asked about circuit breaker, question on scaling the project like system design ques basically</v>
      </c>
      <c r="J9" s="1"/>
      <c r="K9" s="1"/>
      <c r="L9" s="1"/>
      <c r="M9" s="1"/>
      <c r="N9" s="1"/>
      <c r="O9" s="1"/>
      <c r="P9" s="1"/>
      <c r="Q9" s="1"/>
      <c r="R9" s="1"/>
      <c r="S9" s="1"/>
      <c r="T9" s="1"/>
      <c r="U9" s="1"/>
      <c r="V9" s="1"/>
      <c r="W9" s="1"/>
      <c r="X9" s="1"/>
      <c r="Y9" s="1"/>
      <c r="Z9" s="1"/>
    </row>
    <row r="10">
      <c r="A10" s="2">
        <f>IFERROR(__xludf.DUMMYFUNCTION("""COMPUTED_VALUE"""),45978.78443760416)</f>
        <v>45978.78444</v>
      </c>
      <c r="B10" s="1" t="str">
        <f>IFERROR(__xludf.DUMMYFUNCTION("""COMPUTED_VALUE"""),"Vishal Jain ")</f>
        <v>Vishal Jain </v>
      </c>
      <c r="C10" s="1">
        <f>IFERROR(__xludf.DUMMYFUNCTION("""COMPUTED_VALUE"""),2026.0)</f>
        <v>2026</v>
      </c>
      <c r="D10" s="1" t="str">
        <f>IFERROR(__xludf.DUMMYFUNCTION("""COMPUTED_VALUE"""),"Epam Systems ")</f>
        <v>Epam Systems </v>
      </c>
      <c r="E10" s="3" t="str">
        <f>IFERROR(__xludf.DUMMYFUNCTION("""COMPUTED_VALUE"""),"https://www.geeksforgeeks.org/interview-experiences/epam-systems-interview-experience-for-jr-software-engineer/")</f>
        <v>https://www.geeksforgeeks.org/interview-experiences/epam-systems-interview-experience-for-jr-software-engineer/</v>
      </c>
      <c r="F10" s="3" t="str">
        <f>IFERROR(__xludf.DUMMYFUNCTION("""COMPUTED_VALUE"""),"https://www.geeksforgeeks.org/interview-experiences/epam-systems-interview-experience-for-jr-software-engineer/")</f>
        <v>https://www.geeksforgeeks.org/interview-experiences/epam-systems-interview-experience-for-jr-software-engineer/</v>
      </c>
      <c r="G10" s="3" t="str">
        <f>IFERROR(__xludf.DUMMYFUNCTION("""COMPUTED_VALUE"""),"https://www.geeksforgeeks.org/interview-experiences/epam-systems-interview-experience-for-jr-software-engineer/")</f>
        <v>https://www.geeksforgeeks.org/interview-experiences/epam-systems-interview-experience-for-jr-software-engineer/</v>
      </c>
      <c r="H10" s="3" t="str">
        <f>IFERROR(__xludf.DUMMYFUNCTION("""COMPUTED_VALUE"""),"https://www.geeksforgeeks.org/interview-experiences/epam-systems-interview-experience-for-jr-software-engineer/")</f>
        <v>https://www.geeksforgeeks.org/interview-experiences/epam-systems-interview-experience-for-jr-software-engineer/</v>
      </c>
      <c r="I10" s="3" t="str">
        <f>IFERROR(__xludf.DUMMYFUNCTION("""COMPUTED_VALUE"""),"https://www.geeksforgeeks.org/interview-experiences/epam-systems-interview-experience-for-jr-software-engineer/")</f>
        <v>https://www.geeksforgeeks.org/interview-experiences/epam-systems-interview-experience-for-jr-software-engineer/</v>
      </c>
      <c r="J10" s="1"/>
      <c r="K10" s="1"/>
      <c r="L10" s="1"/>
      <c r="M10" s="1"/>
      <c r="N10" s="1"/>
      <c r="O10" s="1"/>
      <c r="P10" s="1"/>
      <c r="Q10" s="1"/>
      <c r="R10" s="1"/>
      <c r="S10" s="1"/>
      <c r="T10" s="1"/>
      <c r="U10" s="1"/>
      <c r="V10" s="1"/>
      <c r="W10" s="1"/>
      <c r="X10" s="1"/>
      <c r="Y10" s="1"/>
      <c r="Z10" s="1"/>
    </row>
    <row r="11">
      <c r="A11" s="2">
        <f>IFERROR(__xludf.DUMMYFUNCTION("""COMPUTED_VALUE"""),45978.88522071759)</f>
        <v>45978.88522</v>
      </c>
      <c r="B11" s="1" t="str">
        <f>IFERROR(__xludf.DUMMYFUNCTION("""COMPUTED_VALUE"""),"Vasu Taunk ")</f>
        <v>Vasu Taunk </v>
      </c>
      <c r="C11" s="1">
        <f>IFERROR(__xludf.DUMMYFUNCTION("""COMPUTED_VALUE"""),2026.0)</f>
        <v>2026</v>
      </c>
      <c r="D11" s="1" t="str">
        <f>IFERROR(__xludf.DUMMYFUNCTION("""COMPUTED_VALUE"""),"Intellect Design Arena ")</f>
        <v>Intellect Design Arena </v>
      </c>
      <c r="E11" s="1" t="str">
        <f>IFERROR(__xludf.DUMMYFUNCTION("""COMPUTED_VALUE"""),"10 MCQs
DSA Coding Question
1 Java-Based Question
1 SQL Query Question")</f>
        <v>10 MCQs
DSA Coding Question
1 Java-Based Question
1 SQL Query Question</v>
      </c>
      <c r="F11" s="1" t="str">
        <f>IFERROR(__xludf.DUMMYFUNCTION("""COMPUTED_VALUE"""),"120 mints")</f>
        <v>120 mints</v>
      </c>
      <c r="G11" s="1" t="str">
        <f>IFERROR(__xludf.DUMMYFUNCTION("""COMPUTED_VALUE"""),"1 Array based coding question, OOPS concept based MCQs")</f>
        <v>1 Array based coding question, OOPS concept based MCQs</v>
      </c>
      <c r="H11" s="1" t="str">
        <f>IFERROR(__xludf.DUMMYFUNCTION("""COMPUTED_VALUE"""),"30 mints")</f>
        <v>30 mints</v>
      </c>
      <c r="I11" s="1" t="str">
        <f>IFERROR(__xludf.DUMMYFUNCTION("""COMPUTED_VALUE"""),"Encryption vs Hashing
Sliding Window 
Array 
OOPs concept
IOC and Dependency Injection")</f>
        <v>Encryption vs Hashing
Sliding Window 
Array 
OOPs concept
IOC and Dependency Injection</v>
      </c>
      <c r="J11" s="1" t="str">
        <f>IFERROR(__xludf.DUMMYFUNCTION("""COMPUTED_VALUE"""),"643 Leetcode. Maximum Average Subarray I
605 Leetcode. Can Place Flowers")</f>
        <v>643 Leetcode. Maximum Average Subarray I
605 Leetcode. Can Place Flowers</v>
      </c>
      <c r="K11" s="1" t="str">
        <f>IFERROR(__xludf.DUMMYFUNCTION("""COMPUTED_VALUE"""),"Dependency Injection and IOC
How many ways can we create the string object?")</f>
        <v>Dependency Injection and IOC
How many ways can we create the string object?</v>
      </c>
      <c r="L11" s="1" t="str">
        <f>IFERROR(__xludf.DUMMYFUNCTION("""COMPUTED_VALUE"""),"DDOS Definition")</f>
        <v>DDOS Definition</v>
      </c>
      <c r="M11" s="1" t="str">
        <f>IFERROR(__xludf.DUMMYFUNCTION("""COMPUTED_VALUE"""),"Tell me about your family")</f>
        <v>Tell me about your family</v>
      </c>
      <c r="N11" s="1"/>
      <c r="O11" s="1"/>
      <c r="P11" s="1"/>
      <c r="Q11" s="1"/>
      <c r="R11" s="1"/>
      <c r="S11" s="1"/>
      <c r="T11" s="1"/>
      <c r="U11" s="1"/>
      <c r="V11" s="1"/>
      <c r="W11" s="1"/>
      <c r="X11" s="1"/>
      <c r="Y11" s="1"/>
      <c r="Z11" s="1"/>
    </row>
    <row r="12">
      <c r="A12" s="2">
        <f>IFERROR(__xludf.DUMMYFUNCTION("""COMPUTED_VALUE"""),45978.92662269676)</f>
        <v>45978.92662</v>
      </c>
      <c r="B12" s="1" t="str">
        <f>IFERROR(__xludf.DUMMYFUNCTION("""COMPUTED_VALUE"""),"Tilakraj Singh Ranawat")</f>
        <v>Tilakraj Singh Ranawat</v>
      </c>
      <c r="C12" s="1">
        <f>IFERROR(__xludf.DUMMYFUNCTION("""COMPUTED_VALUE"""),2026.0)</f>
        <v>2026</v>
      </c>
      <c r="D12" s="1" t="str">
        <f>IFERROR(__xludf.DUMMYFUNCTION("""COMPUTED_VALUE"""),"Intellect design arena")</f>
        <v>Intellect design arena</v>
      </c>
      <c r="E12" s="1" t="str">
        <f>IFERROR(__xludf.DUMMYFUNCTION("""COMPUTED_VALUE"""),"10 MCQ, 2 Coding, 2 SQl")</f>
        <v>10 MCQ, 2 Coding, 2 SQl</v>
      </c>
      <c r="F12" s="1" t="str">
        <f>IFERROR(__xludf.DUMMYFUNCTION("""COMPUTED_VALUE"""),"120 minutes")</f>
        <v>120 minutes</v>
      </c>
      <c r="G12" s="1" t="str">
        <f>IFERROR(__xludf.DUMMYFUNCTION("""COMPUTED_VALUE"""),"Basics of Java, OOPs and SQL
Coding question 
1 OOPs based
2.Advance array question based on permutation")</f>
        <v>Basics of Java, OOPs and SQL
Coding question 
1 OOPs based
2.Advance array question based on permutation</v>
      </c>
      <c r="H12" s="1" t="str">
        <f>IFERROR(__xludf.DUMMYFUNCTION("""COMPUTED_VALUE"""),"10-15 minute")</f>
        <v>10-15 minute</v>
      </c>
      <c r="I12" s="1" t="str">
        <f>IFERROR(__xludf.DUMMYFUNCTION("""COMPUTED_VALUE"""),"Array")</f>
        <v>Array</v>
      </c>
      <c r="J12" s="1" t="str">
        <f>IFERROR(__xludf.DUMMYFUNCTION("""COMPUTED_VALUE"""),"1. Second largest number in array. Its time complexity and space complexity and also asked why?
2. Kth largest in the array
3. How you convert string to integer in java.
4. Tell me about your family background
")</f>
        <v>1. Second largest number in array. Its time complexity and space complexity and also asked why?
2. Kth largest in the array
3. How you convert string to integer in java.
4. Tell me about your family background
</v>
      </c>
      <c r="K12" s="1" t="str">
        <f>IFERROR(__xludf.DUMMYFUNCTION("""COMPUTED_VALUE"""),"DSA")</f>
        <v>DSA</v>
      </c>
      <c r="L12" s="1" t="str">
        <f>IFERROR(__xludf.DUMMYFUNCTION("""COMPUTED_VALUE"""),"Didn't ask")</f>
        <v>Didn't ask</v>
      </c>
      <c r="M12" s="1"/>
      <c r="N12" s="1"/>
      <c r="O12" s="1"/>
      <c r="P12" s="1"/>
      <c r="Q12" s="1"/>
      <c r="R12" s="1"/>
      <c r="S12" s="1"/>
      <c r="T12" s="1"/>
      <c r="U12" s="1"/>
      <c r="V12" s="1"/>
      <c r="W12" s="1"/>
      <c r="X12" s="1"/>
      <c r="Y12" s="1"/>
      <c r="Z12" s="1"/>
    </row>
    <row r="13">
      <c r="A13" s="2">
        <f>IFERROR(__xludf.DUMMYFUNCTION("""COMPUTED_VALUE"""),45980.36912081019)</f>
        <v>45980.36912</v>
      </c>
      <c r="B13" s="1" t="str">
        <f>IFERROR(__xludf.DUMMYFUNCTION("""COMPUTED_VALUE"""),"Aman Singh")</f>
        <v>Aman Singh</v>
      </c>
      <c r="C13" s="1">
        <f>IFERROR(__xludf.DUMMYFUNCTION("""COMPUTED_VALUE"""),2026.0)</f>
        <v>2026</v>
      </c>
      <c r="D13" s="1" t="str">
        <f>IFERROR(__xludf.DUMMYFUNCTION("""COMPUTED_VALUE"""),"Qolaris Data ")</f>
        <v>Qolaris Data </v>
      </c>
      <c r="E13" s="1" t="str">
        <f>IFERROR(__xludf.DUMMYFUNCTION("""COMPUTED_VALUE"""),"50 MCQ, 1 development question ")</f>
        <v>50 MCQ, 1 development question </v>
      </c>
      <c r="F13" s="1" t="str">
        <f>IFERROR(__xludf.DUMMYFUNCTION("""COMPUTED_VALUE"""),"60 min")</f>
        <v>60 min</v>
      </c>
      <c r="G13" s="1" t="str">
        <f>IFERROR(__xludf.DUMMYFUNCTION("""COMPUTED_VALUE"""),"20 Math, 20 Reasoning, 10 English and build small program using React, Node.js, MySQL.")</f>
        <v>20 Math, 20 Reasoning, 10 English and build small program using React, Node.js, MySQL.</v>
      </c>
      <c r="H13" s="1" t="str">
        <f>IFERROR(__xludf.DUMMYFUNCTION("""COMPUTED_VALUE"""),"10-15 minutes")</f>
        <v>10-15 minutes</v>
      </c>
      <c r="I13" s="1" t="str">
        <f>IFERROR(__xludf.DUMMYFUNCTION("""COMPUTED_VALUE"""),"Development based question (related to development question asked by them)")</f>
        <v>Development based question (related to development question asked by them)</v>
      </c>
      <c r="J13" s="1"/>
      <c r="K13" s="1"/>
      <c r="L13" s="1"/>
      <c r="M13" s="1"/>
      <c r="N13" s="1"/>
      <c r="O13" s="1"/>
      <c r="P13" s="1"/>
      <c r="Q13" s="1"/>
      <c r="R13" s="1"/>
      <c r="S13" s="1"/>
      <c r="T13" s="1"/>
      <c r="U13" s="1"/>
      <c r="V13" s="1"/>
      <c r="W13" s="1"/>
      <c r="X13" s="1"/>
      <c r="Y13" s="1"/>
      <c r="Z13" s="1"/>
    </row>
    <row r="14">
      <c r="A14" s="2">
        <f>IFERROR(__xludf.DUMMYFUNCTION("""COMPUTED_VALUE"""),45980.62387996528)</f>
        <v>45980.62388</v>
      </c>
      <c r="B14" s="1" t="str">
        <f>IFERROR(__xludf.DUMMYFUNCTION("""COMPUTED_VALUE"""),"Shravan choudhary ")</f>
        <v>Shravan choudhary </v>
      </c>
      <c r="C14" s="1">
        <f>IFERROR(__xludf.DUMMYFUNCTION("""COMPUTED_VALUE"""),2026.0)</f>
        <v>2026</v>
      </c>
      <c r="D14" s="1" t="str">
        <f>IFERROR(__xludf.DUMMYFUNCTION("""COMPUTED_VALUE"""),"Intellect design arena")</f>
        <v>Intellect design arena</v>
      </c>
      <c r="E14" s="1" t="str">
        <f>IFERROR(__xludf.DUMMYFUNCTION("""COMPUTED_VALUE"""),"
2 coding question , 2-3 hr question  discussion")</f>
        <v>
2 coding question , 2-3 hr question  discussion</v>
      </c>
      <c r="F14" s="1" t="str">
        <f>IFERROR(__xludf.DUMMYFUNCTION("""COMPUTED_VALUE"""),"15 minute")</f>
        <v>15 minute</v>
      </c>
      <c r="G14" s="1" t="str">
        <f>IFERROR(__xludf.DUMMYFUNCTION("""COMPUTED_VALUE"""),"(2 simple + 1 medium  ) coding question")</f>
        <v>(2 simple + 1 medium  ) coding question</v>
      </c>
      <c r="H14" s="1" t="str">
        <f>IFERROR(__xludf.DUMMYFUNCTION("""COMPUTED_VALUE"""),"15")</f>
        <v>15</v>
      </c>
      <c r="I14" s="1" t="str">
        <f>IFERROR(__xludf.DUMMYFUNCTION("""COMPUTED_VALUE"""),"priority queue , array ")</f>
        <v>priority queue , array </v>
      </c>
      <c r="J14" s="1" t="str">
        <f>IFERROR(__xludf.DUMMYFUNCTION("""COMPUTED_VALUE"""),"1.Second largest by multiple approach as you can and their time complexity 
2.kth largest number in vector string optimize code and time complexity ( I use cpp in both question ) 
3. String to integer  code in java 
")</f>
        <v>1.Second largest by multiple approach as you can and their time complexity 
2.kth largest number in vector string optimize code and time complexity ( I use cpp in both question ) 
3. String to integer  code in java 
</v>
      </c>
      <c r="K14" s="1" t="str">
        <f>IFERROR(__xludf.DUMMYFUNCTION("""COMPUTED_VALUE"""),"NA")</f>
        <v>NA</v>
      </c>
      <c r="L14" s="1" t="str">
        <f>IFERROR(__xludf.DUMMYFUNCTION("""COMPUTED_VALUE"""),"NA")</f>
        <v>NA</v>
      </c>
      <c r="M14" s="1" t="str">
        <f>IFERROR(__xludf.DUMMYFUNCTION("""COMPUTED_VALUE"""),"Hr question -&gt;  family background , why to choose master")</f>
        <v>Hr question -&gt;  family background , why to choose master</v>
      </c>
      <c r="N14" s="1"/>
      <c r="O14" s="1"/>
      <c r="P14" s="1"/>
      <c r="Q14" s="1"/>
      <c r="R14" s="1"/>
      <c r="S14" s="1"/>
      <c r="T14" s="1"/>
      <c r="U14" s="1"/>
      <c r="V14" s="1"/>
      <c r="W14" s="1"/>
      <c r="X14" s="1"/>
      <c r="Y14" s="1"/>
      <c r="Z14" s="1"/>
    </row>
    <row r="15">
      <c r="A15" s="2">
        <f>IFERROR(__xludf.DUMMYFUNCTION("""COMPUTED_VALUE"""),46094.47744644676)</f>
        <v>46094.47745</v>
      </c>
      <c r="B15" s="1" t="str">
        <f>IFERROR(__xludf.DUMMYFUNCTION("""COMPUTED_VALUE"""),"Kush Kumar ")</f>
        <v>Kush Kumar </v>
      </c>
      <c r="C15" s="1">
        <f>IFERROR(__xludf.DUMMYFUNCTION("""COMPUTED_VALUE"""),2026.0)</f>
        <v>2026</v>
      </c>
      <c r="D15" s="1" t="str">
        <f>IFERROR(__xludf.DUMMYFUNCTION("""COMPUTED_VALUE"""),"Infosys")</f>
        <v>Infosys</v>
      </c>
      <c r="E15" s="1" t="str">
        <f>IFERROR(__xludf.DUMMYFUNCTION("""COMPUTED_VALUE"""),"4 Coding Problems ( 1- Easy , 1- Medium, 1- Hard, 1- Complex)
")</f>
        <v>4 Coding Problems ( 1- Easy , 1- Medium, 1- Hard, 1- Complex)
</v>
      </c>
      <c r="F15" s="1" t="str">
        <f>IFERROR(__xludf.DUMMYFUNCTION("""COMPUTED_VALUE"""),"180 minutes ")</f>
        <v>180 minutes </v>
      </c>
      <c r="G15" s="1" t="str">
        <f>IFERROR(__xludf.DUMMYFUNCTION("""COMPUTED_VALUE"""),"Problems was based on DP, Recursion, Greedy.")</f>
        <v>Problems was based on DP, Recursion, Greedy.</v>
      </c>
      <c r="H15" s="1" t="str">
        <f>IFERROR(__xludf.DUMMYFUNCTION("""COMPUTED_VALUE"""),"Around 30-35 minutes ( L1 role)")</f>
        <v>Around 30-35 minutes ( L1 role)</v>
      </c>
      <c r="I15" s="1" t="str">
        <f>IFERROR(__xludf.DUMMYFUNCTION("""COMPUTED_VALUE"""),"Graph Traversal (BFS, DFS), Cycle Detection in Directed Graph, Topological Sort, Node.js &amp; Express.js (Promises, Event Loop, Event-Driven Programming, require(), etc..), SQL Queries (Second Highest Salary), Operating System (Deadlock, Banker’s Algorithm),"&amp;" AI Basics (ChatGPT, LLM).")</f>
        <v>Graph Traversal (BFS, DFS), Cycle Detection in Directed Graph, Topological Sort, Node.js &amp; Express.js (Promises, Event Loop, Event-Driven Programming, require(), etc..), SQL Queries (Second Highest Salary), Operating System (Deadlock, Banker’s Algorithm), AI Basics (ChatGPT, LLM).</v>
      </c>
      <c r="J15" s="1" t="str">
        <f>IFERROR(__xludf.DUMMYFUNCTION("""COMPUTED_VALUE"""),"Q1: Write pseudo code for BFS and DFS traversal in a graph.
Q2: Detect cycle in a directed graph and explain the approach.
Q3: Write code for Topological Sorting in a directed graph.
Q4: SQL query to find the second highest salary from a table and explain"&amp;" the case when only one record exists.")</f>
        <v>Q1: Write pseudo code for BFS and DFS traversal in a graph.
Q2: Detect cycle in a directed graph and explain the approach.
Q3: Write code for Topological Sorting in a directed graph.
Q4: SQL query to find the second highest salary from a table and explain the case when only one record exists.</v>
      </c>
      <c r="K15" s="1" t="str">
        <f>IFERROR(__xludf.DUMMYFUNCTION("""COMPUTED_VALUE"""),"1) What is Event Loop in Node.js?
2) Explain Event-Driven Programming.
3) What are Promises and how they are used in Express.js?
4) Why do we use require() in Node.js / Express?
5) What is Banker’s Algorithm, Can You Draw Diagram and why is it used?
6) Ex"&amp;"plain Deadlock and Approch to Handle Deadlock.
7) What is an LLM (Large Language Model)?
8) What is ChatGPT and how does it work?")</f>
        <v>1) What is Event Loop in Node.js?
2) Explain Event-Driven Programming.
3) What are Promises and how they are used in Express.js?
4) Why do we use require() in Node.js / Express?
5) What is Banker’s Algorithm, Can You Draw Diagram and why is it used?
6) Explain Deadlock and Approch to Handle Deadlock.
7) What is an LLM (Large Language Model)?
8) What is ChatGPT and how does it work?</v>
      </c>
      <c r="L15" s="1" t="str">
        <f>IFERROR(__xludf.DUMMYFUNCTION("""COMPUTED_VALUE"""),"Only basic discussion about the project — Introduction and it's functionality.")</f>
        <v>Only basic discussion about the project — Introduction and it's functionality.</v>
      </c>
      <c r="M15" s="1"/>
      <c r="N15" s="1"/>
      <c r="O15" s="1"/>
      <c r="P15" s="1"/>
      <c r="Q15" s="1"/>
      <c r="R15" s="1"/>
      <c r="S15" s="1"/>
      <c r="T15" s="1"/>
      <c r="U15" s="1"/>
      <c r="V15" s="1"/>
      <c r="W15" s="1"/>
      <c r="X15" s="1"/>
      <c r="Y15" s="1"/>
      <c r="Z15" s="1"/>
    </row>
    <row r="16">
      <c r="A16" s="2">
        <f>IFERROR(__xludf.DUMMYFUNCTION("""COMPUTED_VALUE"""),46094.925909976846)</f>
        <v>46094.92591</v>
      </c>
      <c r="B16" s="1" t="str">
        <f>IFERROR(__xludf.DUMMYFUNCTION("""COMPUTED_VALUE"""),"Bharti Gangwar")</f>
        <v>Bharti Gangwar</v>
      </c>
      <c r="C16" s="1">
        <f>IFERROR(__xludf.DUMMYFUNCTION("""COMPUTED_VALUE"""),2026.0)</f>
        <v>2026</v>
      </c>
      <c r="D16" s="1" t="str">
        <f>IFERROR(__xludf.DUMMYFUNCTION("""COMPUTED_VALUE"""),"Infosys")</f>
        <v>Infosys</v>
      </c>
      <c r="E16" s="1" t="str">
        <f>IFERROR(__xludf.DUMMYFUNCTION("""COMPUTED_VALUE"""),"4 coding questions  only 
Easy , Medium , Hard, Complex")</f>
        <v>4 coding questions  only 
Easy , Medium , Hard, Complex</v>
      </c>
      <c r="F16" s="1" t="str">
        <f>IFERROR(__xludf.DUMMYFUNCTION("""COMPUTED_VALUE"""),"180 min")</f>
        <v>180 min</v>
      </c>
      <c r="G16" s="1" t="str">
        <f>IFERROR(__xludf.DUMMYFUNCTION("""COMPUTED_VALUE"""),"Dynamic Programming ,Greedy Algorithms")</f>
        <v>Dynamic Programming ,Greedy Algorithms</v>
      </c>
      <c r="H16" s="1" t="str">
        <f>IFERROR(__xludf.DUMMYFUNCTION("""COMPUTED_VALUE"""),"30 to 35 min")</f>
        <v>30 to 35 min</v>
      </c>
      <c r="I16" s="1" t="str">
        <f>IFERROR(__xludf.DUMMYFUNCTION("""COMPUTED_VALUE"""),"Python Concepts – Generator, Namespace
Graph Algorithms – DFS, BFS, Topological Sort, Kahn’s Algorithm
Machine Learning Basics – Overfitting, Underfitting, Neural Networks, CNN, SVM, One Hot         
                                                Encod"&amp;"ing 
")</f>
        <v>Python Concepts – Generator, Namespace
Graph Algorithms – DFS, BFS, Topological Sort, Kahn’s Algorithm
Machine Learning Basics – Overfitting, Underfitting, Neural Networks, CNN, SVM, One Hot         
                                                Encoding 
</v>
      </c>
      <c r="J16" s="1" t="str">
        <f>IFERROR(__xludf.DUMMYFUNCTION("""COMPUTED_VALUE"""),"Explain the approach and write pseudocode for Depth First Search (DFS) in a graph.
 Explain the approach and write pseudocode for Breadth First Search (BFS) in a graph.
Explain how Topological Sort and Kahn’s Algorithm work.")</f>
        <v>Explain the approach and write pseudocode for Depth First Search (DFS) in a graph.
 Explain the approach and write pseudocode for Breadth First Search (BFS) in a graph.
Explain how Topological Sort and Kahn’s Algorithm work.</v>
      </c>
      <c r="K16" s="1" t="str">
        <f>IFERROR(__xludf.DUMMYFUNCTION("""COMPUTED_VALUE"""),"No core CS subject questions were asked during the interview.
The discussion mainly focused on Python concepts, graph algorithms, machine learning basics, and project-related questions, since my resume was mainly based on data science projects and skills"&amp;".")</f>
        <v>No core CS subject questions were asked during the interview.
The discussion mainly focused on Python concepts, graph algorithms, machine learning basics, and project-related questions, since my resume was mainly based on data science projects and skills.</v>
      </c>
      <c r="L16" s="1" t="str">
        <f>IFERROR(__xludf.DUMMYFUNCTION("""COMPUTED_VALUE"""),"1. Asked about the future improvements that can be made to enhance the project.
2. Asked about the technologies used in my project.")</f>
        <v>1. Asked about the future improvements that can be made to enhance the project.
2. Asked about the technologies used in my project.</v>
      </c>
      <c r="M16" s="1" t="str">
        <f>IFERROR(__xludf.DUMMYFUNCTION("""COMPUTED_VALUE"""),"The interview was mainly focused on DSA concepts and skills  mentioned in  resume. The interviewer focused more on understanding the approach and logic rather than writing the exact code, and asked to explain solutions using pseudocode. Make sure you are "&amp;"well prepared with all the skills, technologies, and projects mentioned in your resume.")</f>
        <v>The interview was mainly focused on DSA concepts and skills  mentioned in  resume. The interviewer focused more on understanding the approach and logic rather than writing the exact code, and asked to explain solutions using pseudocode. Make sure you are well prepared with all the skills, technologies, and projects mentioned in your resume.</v>
      </c>
      <c r="N16" s="1"/>
      <c r="O16" s="1"/>
      <c r="P16" s="1"/>
      <c r="Q16" s="1"/>
      <c r="R16" s="1"/>
      <c r="S16" s="1"/>
      <c r="T16" s="1"/>
      <c r="U16" s="1"/>
      <c r="V16" s="1"/>
      <c r="W16" s="1"/>
      <c r="X16" s="1"/>
      <c r="Y16" s="1"/>
      <c r="Z16" s="1"/>
    </row>
    <row r="17">
      <c r="A17" s="2">
        <f>IFERROR(__xludf.DUMMYFUNCTION("""COMPUTED_VALUE"""),46095.83527340278)</f>
        <v>46095.83527</v>
      </c>
      <c r="B17" s="1" t="str">
        <f>IFERROR(__xludf.DUMMYFUNCTION("""COMPUTED_VALUE"""),"Y Vamsi Krishna")</f>
        <v>Y Vamsi Krishna</v>
      </c>
      <c r="C17" s="1">
        <f>IFERROR(__xludf.DUMMYFUNCTION("""COMPUTED_VALUE"""),2026.0)</f>
        <v>2026</v>
      </c>
      <c r="D17" s="1" t="str">
        <f>IFERROR(__xludf.DUMMYFUNCTION("""COMPUTED_VALUE"""),"Accenture")</f>
        <v>Accenture</v>
      </c>
      <c r="E17" s="1" t="str">
        <f>IFERROR(__xludf.DUMMYFUNCTION("""COMPUTED_VALUE"""),"1st Round        Behavioral Assessment (Psychometric)        54 Questions        20 min
               Cognitive Assessment (Gamified)        3 Questions        20 min
2nd Round        Technical Assessment (MCQs)        45 Questions        45 min
Coding A"&amp;"ssessment        3 Questions        60 min
3rd Round        Communication Assessment        20 Questions(approx.)        30 min")</f>
        <v>1st Round        Behavioral Assessment (Psychometric)        54 Questions        20 min
               Cognitive Assessment (Gamified)        3 Questions        20 min
2nd Round        Technical Assessment (MCQs)        45 Questions        45 min
Coding Assessment        3 Questions        60 min
3rd Round        Communication Assessment        20 Questions(approx.)        30 min</v>
      </c>
      <c r="F17" s="1" t="str">
        <f>IFERROR(__xludf.DUMMYFUNCTION("""COMPUTED_VALUE"""),"115")</f>
        <v>115</v>
      </c>
      <c r="G17" s="1" t="str">
        <f>IFERROR(__xludf.DUMMYFUNCTION("""COMPUTED_VALUE"""),"Technical Assessment (MCQ's):
Common Applications and MS Office
PseudoCode (focus on xor operations 20 questions easy scoring)
Network
Security and Cloud
Total Questions: 45 Questions
Coding:
DSA
SQL
Java/JavaScript
HTML/CSS
.Net
Total Questions: 3 
")</f>
        <v>Technical Assessment (MCQ's):
Common Applications and MS Office
PseudoCode (focus on xor operations 20 questions easy scoring)
Network
Security and Cloud
Total Questions: 45 Questions
Coding:
DSA
SQL
Java/JavaScript
HTML/CSS
.Net
Total Questions: 3 
</v>
      </c>
      <c r="H17" s="1" t="str">
        <f>IFERROR(__xludf.DUMMYFUNCTION("""COMPUTED_VALUE"""),"45 min")</f>
        <v>45 min</v>
      </c>
      <c r="I17" s="1" t="str">
        <f>IFERROR(__xludf.DUMMYFUNCTION("""COMPUTED_VALUE"""),"projects discussed (spring boot, gen ai) + hr questions")</f>
        <v>projects discussed (spring boot, gen ai) + hr questions</v>
      </c>
      <c r="J17" s="1" t="str">
        <f>IFERROR(__xludf.DUMMYFUNCTION("""COMPUTED_VALUE"""),"-")</f>
        <v>-</v>
      </c>
      <c r="K17" s="1" t="str">
        <f>IFERROR(__xludf.DUMMYFUNCTION("""COMPUTED_VALUE"""),"-")</f>
        <v>-</v>
      </c>
      <c r="L17" s="1" t="str">
        <f>IFERROR(__xludf.DUMMYFUNCTION("""COMPUTED_VALUE"""),"1.) Event Ticketing platform (spring boot) explanation of how the project works.
2.) chatbot that answers questions about a YouTube video using its transcript, powered by LangChain and an OpenAI LLM (discussed about llm and LangChain in detail of how it w"&amp;"orks)
3.)hr questions
Tell me about yourself.
Why do you want to work at Accenture?
What are your strengths and weaknesses?
Where do you see yourself in 5 years?
Tell me about a challenge you faced and how you handled it.
How do you handle working in a te"&amp;"am?
Why should we hire you?
Do you have any questions for us?")</f>
        <v>1.) Event Ticketing platform (spring boot) explanation of how the project works.
2.) chatbot that answers questions about a YouTube video using its transcript, powered by LangChain and an OpenAI LLM (discussed about llm and LangChain in detail of how it works)
3.)hr questions
Tell me about yourself.
Why do you want to work at Accenture?
What are your strengths and weaknesses?
Where do you see yourself in 5 years?
Tell me about a challenge you faced and how you handled it.
How do you handle working in a team?
Why should we hire you?
Do you have any questions for us?</v>
      </c>
      <c r="M17" s="1" t="str">
        <f>IFERROR(__xludf.DUMMYFUNCTION("""COMPUTED_VALUE"""),"key is good communication")</f>
        <v>key is good communication</v>
      </c>
      <c r="N17" s="1"/>
      <c r="O17" s="1"/>
      <c r="P17" s="1"/>
      <c r="Q17" s="1"/>
      <c r="R17" s="1"/>
      <c r="S17" s="1"/>
      <c r="T17" s="1"/>
      <c r="U17" s="1"/>
      <c r="V17" s="1"/>
      <c r="W17" s="1"/>
      <c r="X17" s="1"/>
      <c r="Y17" s="1"/>
      <c r="Z17" s="1"/>
    </row>
    <row r="18">
      <c r="A18" s="2"/>
      <c r="B18" s="1"/>
      <c r="C18" s="1"/>
      <c r="D18" s="1"/>
      <c r="E18" s="1"/>
      <c r="F18" s="1"/>
      <c r="G18" s="1"/>
      <c r="H18" s="1"/>
      <c r="I18" s="1"/>
      <c r="J18" s="1"/>
      <c r="K18" s="1"/>
      <c r="L18" s="1"/>
      <c r="M18" s="1"/>
      <c r="N18" s="1"/>
      <c r="O18" s="1"/>
      <c r="P18" s="1"/>
      <c r="Q18" s="1"/>
      <c r="R18" s="1"/>
      <c r="S18" s="1"/>
      <c r="T18" s="1"/>
      <c r="U18" s="1"/>
      <c r="V18" s="1"/>
      <c r="W18" s="1"/>
      <c r="X18" s="1"/>
      <c r="Y18" s="1"/>
      <c r="Z18" s="1"/>
    </row>
    <row r="19">
      <c r="A19" s="2"/>
      <c r="B19" s="1"/>
      <c r="C19" s="1"/>
      <c r="D19" s="1"/>
      <c r="E19" s="1"/>
      <c r="F19" s="1"/>
      <c r="G19" s="1"/>
      <c r="H19" s="1"/>
      <c r="I19" s="1"/>
      <c r="J19" s="1"/>
      <c r="K19" s="1"/>
      <c r="L19" s="1"/>
      <c r="M19" s="1"/>
      <c r="N19" s="1"/>
      <c r="O19" s="1"/>
      <c r="P19" s="1"/>
      <c r="Q19" s="1"/>
      <c r="R19" s="1"/>
      <c r="S19" s="1"/>
      <c r="T19" s="1"/>
      <c r="U19" s="1"/>
      <c r="V19" s="1"/>
      <c r="W19" s="1"/>
      <c r="X19" s="1"/>
      <c r="Y19" s="1"/>
      <c r="Z19" s="1"/>
    </row>
    <row r="20">
      <c r="A20" s="2"/>
      <c r="B20" s="1"/>
      <c r="C20" s="1"/>
      <c r="D20" s="1"/>
      <c r="E20" s="1"/>
      <c r="F20" s="1"/>
      <c r="G20" s="1"/>
      <c r="H20" s="1"/>
      <c r="I20" s="1"/>
      <c r="J20" s="1"/>
      <c r="K20" s="1"/>
      <c r="L20" s="1"/>
      <c r="M20" s="1"/>
      <c r="N20" s="1"/>
      <c r="O20" s="1"/>
      <c r="P20" s="1"/>
      <c r="Q20" s="1"/>
      <c r="R20" s="1"/>
      <c r="S20" s="1"/>
      <c r="T20" s="1"/>
      <c r="U20" s="1"/>
      <c r="V20" s="1"/>
      <c r="W20" s="1"/>
      <c r="X20" s="1"/>
      <c r="Y20" s="1"/>
      <c r="Z20" s="1"/>
    </row>
    <row r="21">
      <c r="A21" s="2"/>
      <c r="B21" s="1"/>
      <c r="C21" s="1"/>
      <c r="D21" s="1"/>
      <c r="E21" s="1"/>
      <c r="F21" s="1"/>
      <c r="G21" s="1"/>
      <c r="H21" s="1"/>
      <c r="I21" s="1"/>
      <c r="J21" s="1"/>
      <c r="K21" s="1"/>
      <c r="L21" s="1"/>
      <c r="M21" s="1"/>
      <c r="N21" s="1"/>
      <c r="O21" s="1"/>
      <c r="P21" s="1"/>
      <c r="Q21" s="1"/>
      <c r="R21" s="1"/>
      <c r="S21" s="1"/>
      <c r="T21" s="1"/>
      <c r="U21" s="1"/>
      <c r="V21" s="1"/>
      <c r="W21" s="1"/>
      <c r="X21" s="1"/>
      <c r="Y21" s="1"/>
      <c r="Z21" s="1"/>
    </row>
    <row r="22">
      <c r="A22" s="2"/>
      <c r="B22" s="1"/>
      <c r="C22" s="1"/>
      <c r="D22" s="1"/>
      <c r="E22" s="1"/>
      <c r="F22" s="1"/>
      <c r="G22" s="1"/>
      <c r="H22" s="1"/>
      <c r="I22" s="1"/>
      <c r="J22" s="1"/>
      <c r="K22" s="1"/>
      <c r="L22" s="1"/>
      <c r="M22" s="1"/>
      <c r="N22" s="1"/>
      <c r="O22" s="1"/>
      <c r="P22" s="1"/>
      <c r="Q22" s="1"/>
      <c r="R22" s="1"/>
      <c r="S22" s="1"/>
      <c r="T22" s="1"/>
      <c r="U22" s="1"/>
      <c r="V22" s="1"/>
      <c r="W22" s="1"/>
      <c r="X22" s="1"/>
      <c r="Y22" s="1"/>
      <c r="Z22" s="1"/>
    </row>
    <row r="23">
      <c r="A23" s="2"/>
      <c r="B23" s="1"/>
      <c r="C23" s="1"/>
      <c r="D23" s="1"/>
      <c r="E23" s="1"/>
      <c r="F23" s="1"/>
      <c r="G23" s="1"/>
      <c r="H23" s="1"/>
      <c r="I23" s="1"/>
      <c r="J23" s="1"/>
      <c r="K23" s="1"/>
      <c r="L23" s="1"/>
      <c r="M23" s="1"/>
      <c r="N23" s="1"/>
      <c r="O23" s="1"/>
      <c r="P23" s="1"/>
      <c r="Q23" s="1"/>
      <c r="R23" s="1"/>
      <c r="S23" s="1"/>
      <c r="T23" s="1"/>
      <c r="U23" s="1"/>
      <c r="V23" s="1"/>
      <c r="W23" s="1"/>
      <c r="X23" s="1"/>
      <c r="Y23" s="1"/>
      <c r="Z23" s="1"/>
    </row>
    <row r="24">
      <c r="A24" s="2"/>
      <c r="B24" s="1"/>
      <c r="C24" s="1"/>
      <c r="D24" s="1"/>
      <c r="E24" s="1"/>
      <c r="F24" s="1"/>
      <c r="G24" s="1"/>
      <c r="H24" s="1"/>
      <c r="I24" s="1"/>
      <c r="J24" s="1"/>
      <c r="K24" s="1"/>
      <c r="L24" s="1"/>
      <c r="M24" s="1"/>
      <c r="N24" s="1"/>
      <c r="O24" s="1"/>
      <c r="P24" s="1"/>
      <c r="Q24" s="1"/>
      <c r="R24" s="1"/>
      <c r="S24" s="1"/>
      <c r="T24" s="1"/>
      <c r="U24" s="1"/>
      <c r="V24" s="1"/>
      <c r="W24" s="1"/>
      <c r="X24" s="1"/>
      <c r="Y24" s="1"/>
      <c r="Z24" s="1"/>
    </row>
    <row r="25">
      <c r="A25" s="2"/>
      <c r="B25" s="1"/>
      <c r="C25" s="1"/>
      <c r="D25" s="1"/>
      <c r="E25" s="1"/>
      <c r="F25" s="1"/>
      <c r="G25" s="1"/>
      <c r="H25" s="1"/>
      <c r="I25" s="1"/>
      <c r="J25" s="1"/>
      <c r="K25" s="1"/>
      <c r="L25" s="1"/>
      <c r="M25" s="1"/>
      <c r="N25" s="1"/>
      <c r="O25" s="1"/>
      <c r="P25" s="1"/>
      <c r="Q25" s="1"/>
      <c r="R25" s="1"/>
      <c r="S25" s="1"/>
      <c r="T25" s="1"/>
      <c r="U25" s="1"/>
      <c r="V25" s="1"/>
      <c r="W25" s="1"/>
      <c r="X25" s="1"/>
      <c r="Y25" s="1"/>
      <c r="Z25" s="1"/>
    </row>
    <row r="26">
      <c r="A26" s="2"/>
      <c r="B26" s="1"/>
      <c r="C26" s="1"/>
      <c r="D26" s="1"/>
      <c r="E26" s="1"/>
      <c r="F26" s="1"/>
      <c r="G26" s="1"/>
      <c r="H26" s="1"/>
      <c r="I26" s="1"/>
      <c r="J26" s="1"/>
      <c r="K26" s="1"/>
      <c r="L26" s="1"/>
      <c r="M26" s="1"/>
      <c r="N26" s="1"/>
      <c r="O26" s="1"/>
      <c r="P26" s="1"/>
      <c r="Q26" s="1"/>
      <c r="R26" s="1"/>
      <c r="S26" s="1"/>
      <c r="T26" s="1"/>
      <c r="U26" s="1"/>
      <c r="V26" s="1"/>
      <c r="W26" s="1"/>
      <c r="X26" s="1"/>
      <c r="Y26" s="1"/>
      <c r="Z26" s="1"/>
    </row>
    <row r="27">
      <c r="A27" s="2"/>
      <c r="B27" s="1"/>
      <c r="C27" s="1"/>
      <c r="D27" s="1"/>
      <c r="E27" s="1"/>
      <c r="F27" s="1"/>
      <c r="G27" s="1"/>
      <c r="H27" s="1"/>
      <c r="I27" s="1"/>
      <c r="J27" s="1"/>
      <c r="K27" s="1"/>
      <c r="L27" s="1"/>
      <c r="M27" s="1"/>
      <c r="N27" s="1"/>
      <c r="O27" s="1"/>
      <c r="P27" s="1"/>
      <c r="Q27" s="1"/>
      <c r="R27" s="1"/>
      <c r="S27" s="1"/>
      <c r="T27" s="1"/>
      <c r="U27" s="1"/>
      <c r="V27" s="1"/>
      <c r="W27" s="1"/>
      <c r="X27" s="1"/>
      <c r="Y27" s="1"/>
      <c r="Z27" s="1"/>
    </row>
    <row r="28">
      <c r="A28" s="2"/>
      <c r="B28" s="1"/>
      <c r="C28" s="1"/>
      <c r="D28" s="1"/>
      <c r="E28" s="1"/>
      <c r="F28" s="1"/>
      <c r="G28" s="1"/>
      <c r="H28" s="1"/>
      <c r="I28" s="1"/>
      <c r="J28" s="1"/>
      <c r="K28" s="1"/>
      <c r="L28" s="1"/>
      <c r="M28" s="1"/>
      <c r="N28" s="1"/>
      <c r="O28" s="1"/>
      <c r="P28" s="1"/>
      <c r="Q28" s="1"/>
      <c r="R28" s="1"/>
      <c r="S28" s="1"/>
      <c r="T28" s="1"/>
      <c r="U28" s="1"/>
      <c r="V28" s="1"/>
      <c r="W28" s="1"/>
      <c r="X28" s="1"/>
      <c r="Y28" s="1"/>
      <c r="Z28" s="1"/>
    </row>
    <row r="29">
      <c r="A29" s="2"/>
      <c r="B29" s="1"/>
      <c r="C29" s="1"/>
      <c r="D29" s="1"/>
      <c r="E29" s="1"/>
      <c r="F29" s="1"/>
      <c r="G29" s="1"/>
      <c r="H29" s="1"/>
      <c r="I29" s="1"/>
      <c r="J29" s="1"/>
      <c r="K29" s="1"/>
      <c r="L29" s="1"/>
      <c r="M29" s="1"/>
      <c r="N29" s="1"/>
      <c r="O29" s="1"/>
      <c r="P29" s="1"/>
      <c r="Q29" s="1"/>
      <c r="R29" s="1"/>
      <c r="S29" s="1"/>
      <c r="T29" s="1"/>
      <c r="U29" s="1"/>
      <c r="V29" s="1"/>
      <c r="W29" s="1"/>
      <c r="X29" s="1"/>
      <c r="Y29" s="1"/>
      <c r="Z29" s="1"/>
    </row>
    <row r="30">
      <c r="A30" s="2"/>
      <c r="B30" s="1"/>
      <c r="C30" s="1"/>
      <c r="D30" s="1"/>
      <c r="E30" s="1"/>
      <c r="F30" s="1"/>
      <c r="G30" s="1"/>
      <c r="H30" s="1"/>
      <c r="I30" s="1"/>
      <c r="J30" s="1"/>
      <c r="K30" s="1"/>
      <c r="L30" s="1"/>
      <c r="M30" s="1"/>
      <c r="N30" s="1"/>
      <c r="O30" s="1"/>
      <c r="P30" s="1"/>
      <c r="Q30" s="1"/>
      <c r="R30" s="1"/>
      <c r="S30" s="1"/>
      <c r="T30" s="1"/>
      <c r="U30" s="1"/>
      <c r="V30" s="1"/>
      <c r="W30" s="1"/>
      <c r="X30" s="1"/>
      <c r="Y30" s="1"/>
      <c r="Z30" s="1"/>
    </row>
    <row r="31">
      <c r="A31" s="2"/>
      <c r="B31" s="1"/>
      <c r="C31" s="1"/>
      <c r="D31" s="1"/>
      <c r="E31" s="1"/>
      <c r="F31" s="1"/>
      <c r="G31" s="1"/>
      <c r="H31" s="1"/>
      <c r="I31" s="1"/>
      <c r="J31" s="1"/>
      <c r="K31" s="1"/>
      <c r="L31" s="1"/>
      <c r="M31" s="1"/>
      <c r="N31" s="1"/>
      <c r="O31" s="1"/>
      <c r="P31" s="1"/>
      <c r="Q31" s="1"/>
      <c r="R31" s="1"/>
      <c r="S31" s="1"/>
      <c r="T31" s="1"/>
      <c r="U31" s="1"/>
      <c r="V31" s="1"/>
      <c r="W31" s="1"/>
      <c r="X31" s="1"/>
      <c r="Y31" s="1"/>
      <c r="Z31" s="1"/>
    </row>
    <row r="32">
      <c r="A32" s="2"/>
      <c r="B32" s="1"/>
      <c r="C32" s="1"/>
      <c r="D32" s="1"/>
      <c r="E32" s="1"/>
      <c r="F32" s="1"/>
      <c r="G32" s="1"/>
      <c r="H32" s="1"/>
      <c r="I32" s="1"/>
      <c r="J32" s="1"/>
      <c r="K32" s="1"/>
      <c r="L32" s="1"/>
      <c r="M32" s="1"/>
      <c r="N32" s="1"/>
      <c r="O32" s="1"/>
      <c r="P32" s="1"/>
      <c r="Q32" s="1"/>
      <c r="R32" s="1"/>
      <c r="S32" s="1"/>
      <c r="T32" s="1"/>
      <c r="U32" s="1"/>
      <c r="V32" s="1"/>
      <c r="W32" s="1"/>
      <c r="X32" s="1"/>
      <c r="Y32" s="1"/>
      <c r="Z32" s="1"/>
    </row>
    <row r="33">
      <c r="A33" s="2"/>
      <c r="B33" s="1"/>
      <c r="C33" s="1"/>
      <c r="D33" s="1"/>
      <c r="E33" s="1"/>
      <c r="F33" s="1"/>
      <c r="G33" s="1"/>
      <c r="H33" s="1"/>
      <c r="I33" s="1"/>
      <c r="J33" s="1"/>
      <c r="K33" s="1"/>
      <c r="L33" s="1"/>
      <c r="M33" s="1"/>
      <c r="N33" s="1"/>
      <c r="O33" s="1"/>
      <c r="P33" s="1"/>
      <c r="Q33" s="1"/>
      <c r="R33" s="1"/>
      <c r="S33" s="1"/>
      <c r="T33" s="1"/>
      <c r="U33" s="1"/>
      <c r="V33" s="1"/>
      <c r="W33" s="1"/>
      <c r="X33" s="1"/>
      <c r="Y33" s="1"/>
      <c r="Z33" s="1"/>
    </row>
    <row r="34">
      <c r="A34" s="2"/>
      <c r="B34" s="1"/>
      <c r="C34" s="1"/>
      <c r="D34" s="1"/>
      <c r="E34" s="1"/>
      <c r="F34" s="1"/>
      <c r="G34" s="1"/>
      <c r="H34" s="1"/>
      <c r="I34" s="1"/>
      <c r="J34" s="1"/>
      <c r="K34" s="1"/>
      <c r="L34" s="1"/>
      <c r="M34" s="1"/>
      <c r="N34" s="1"/>
      <c r="O34" s="1"/>
      <c r="P34" s="1"/>
      <c r="Q34" s="1"/>
      <c r="R34" s="1"/>
      <c r="S34" s="1"/>
      <c r="T34" s="1"/>
      <c r="U34" s="1"/>
      <c r="V34" s="1"/>
      <c r="W34" s="1"/>
      <c r="X34" s="1"/>
      <c r="Y34" s="1"/>
      <c r="Z34" s="1"/>
    </row>
    <row r="35">
      <c r="A35" s="2"/>
      <c r="B35" s="1"/>
      <c r="C35" s="1"/>
      <c r="D35" s="1"/>
      <c r="E35" s="1"/>
      <c r="F35" s="1"/>
      <c r="G35" s="1"/>
      <c r="H35" s="1"/>
      <c r="I35" s="1"/>
      <c r="J35" s="1"/>
      <c r="K35" s="1"/>
      <c r="L35" s="1"/>
      <c r="M35" s="1"/>
      <c r="N35" s="1"/>
      <c r="O35" s="1"/>
      <c r="P35" s="1"/>
      <c r="Q35" s="1"/>
      <c r="R35" s="1"/>
      <c r="S35" s="1"/>
      <c r="T35" s="1"/>
      <c r="U35" s="1"/>
      <c r="V35" s="1"/>
      <c r="W35" s="1"/>
      <c r="X35" s="1"/>
      <c r="Y35" s="1"/>
      <c r="Z35" s="1"/>
    </row>
    <row r="36">
      <c r="A36" s="2"/>
      <c r="B36" s="1"/>
      <c r="C36" s="1"/>
      <c r="D36" s="1"/>
      <c r="E36" s="1"/>
      <c r="F36" s="1"/>
      <c r="G36" s="1"/>
      <c r="H36" s="1"/>
      <c r="I36" s="1"/>
      <c r="J36" s="1"/>
      <c r="K36" s="1"/>
      <c r="L36" s="1"/>
      <c r="M36" s="1"/>
      <c r="N36" s="1"/>
      <c r="O36" s="1"/>
      <c r="P36" s="1"/>
      <c r="Q36" s="1"/>
      <c r="R36" s="1"/>
      <c r="S36" s="1"/>
      <c r="T36" s="1"/>
      <c r="U36" s="1"/>
      <c r="V36" s="1"/>
      <c r="W36" s="1"/>
      <c r="X36" s="1"/>
      <c r="Y36" s="1"/>
      <c r="Z36" s="1"/>
    </row>
    <row r="37">
      <c r="A37" s="2"/>
      <c r="B37" s="1"/>
      <c r="C37" s="1"/>
      <c r="D37" s="1"/>
      <c r="E37" s="1"/>
      <c r="F37" s="1"/>
      <c r="G37" s="1"/>
      <c r="H37" s="1"/>
      <c r="I37" s="1"/>
      <c r="J37" s="1"/>
      <c r="K37" s="1"/>
      <c r="L37" s="1"/>
      <c r="M37" s="1"/>
      <c r="N37" s="1"/>
      <c r="O37" s="1"/>
      <c r="P37" s="1"/>
      <c r="Q37" s="1"/>
      <c r="R37" s="1"/>
      <c r="S37" s="1"/>
      <c r="T37" s="1"/>
      <c r="U37" s="1"/>
      <c r="V37" s="1"/>
      <c r="W37" s="1"/>
      <c r="X37" s="1"/>
      <c r="Y37" s="1"/>
      <c r="Z37" s="1"/>
    </row>
    <row r="38">
      <c r="A38" s="2"/>
      <c r="B38" s="1"/>
      <c r="C38" s="1"/>
      <c r="D38" s="1"/>
      <c r="E38" s="1"/>
      <c r="F38" s="1"/>
      <c r="G38" s="1"/>
      <c r="H38" s="1"/>
      <c r="I38" s="1"/>
      <c r="J38" s="1"/>
      <c r="K38" s="1"/>
      <c r="L38" s="1"/>
      <c r="M38" s="1"/>
      <c r="N38" s="1"/>
      <c r="O38" s="1"/>
      <c r="P38" s="1"/>
      <c r="Q38" s="1"/>
      <c r="R38" s="1"/>
      <c r="S38" s="1"/>
      <c r="T38" s="1"/>
      <c r="U38" s="1"/>
      <c r="V38" s="1"/>
      <c r="W38" s="1"/>
      <c r="X38" s="1"/>
      <c r="Y38" s="1"/>
      <c r="Z38" s="1"/>
    </row>
    <row r="39">
      <c r="A39" s="2"/>
      <c r="B39" s="1"/>
      <c r="C39" s="1"/>
      <c r="D39" s="1"/>
      <c r="E39" s="1"/>
      <c r="F39" s="1"/>
      <c r="G39" s="1"/>
      <c r="H39" s="1"/>
      <c r="I39" s="1"/>
      <c r="J39" s="1"/>
      <c r="K39" s="1"/>
      <c r="L39" s="1"/>
      <c r="M39" s="1"/>
      <c r="N39" s="1"/>
      <c r="O39" s="1"/>
      <c r="P39" s="1"/>
      <c r="Q39" s="1"/>
      <c r="R39" s="1"/>
      <c r="S39" s="1"/>
      <c r="T39" s="1"/>
      <c r="U39" s="1"/>
      <c r="V39" s="1"/>
      <c r="W39" s="1"/>
      <c r="X39" s="1"/>
      <c r="Y39" s="1"/>
      <c r="Z39" s="1"/>
    </row>
    <row r="40">
      <c r="A40" s="2"/>
      <c r="B40" s="1"/>
      <c r="C40" s="1"/>
      <c r="D40" s="1"/>
      <c r="E40" s="1"/>
      <c r="F40" s="1"/>
      <c r="G40" s="1"/>
      <c r="H40" s="1"/>
      <c r="I40" s="1"/>
      <c r="J40" s="1"/>
      <c r="K40" s="1"/>
      <c r="L40" s="1"/>
      <c r="M40" s="1"/>
      <c r="N40" s="1"/>
      <c r="O40" s="1"/>
      <c r="P40" s="1"/>
      <c r="Q40" s="1"/>
      <c r="R40" s="1"/>
      <c r="S40" s="1"/>
      <c r="T40" s="1"/>
      <c r="U40" s="1"/>
      <c r="V40" s="1"/>
      <c r="W40" s="1"/>
      <c r="X40" s="1"/>
      <c r="Y40" s="1"/>
      <c r="Z40" s="1"/>
    </row>
    <row r="41">
      <c r="A41" s="2"/>
      <c r="B41" s="1"/>
      <c r="C41" s="1"/>
      <c r="D41" s="1"/>
      <c r="E41" s="1"/>
      <c r="F41" s="1"/>
      <c r="G41" s="1"/>
      <c r="H41" s="1"/>
      <c r="I41" s="1"/>
      <c r="J41" s="1"/>
      <c r="K41" s="1"/>
      <c r="L41" s="1"/>
      <c r="M41" s="1"/>
      <c r="N41" s="1"/>
      <c r="O41" s="1"/>
      <c r="P41" s="1"/>
      <c r="Q41" s="1"/>
      <c r="R41" s="1"/>
      <c r="S41" s="1"/>
      <c r="T41" s="1"/>
      <c r="U41" s="1"/>
      <c r="V41" s="1"/>
      <c r="W41" s="1"/>
      <c r="X41" s="1"/>
      <c r="Y41" s="1"/>
      <c r="Z41" s="1"/>
    </row>
    <row r="42">
      <c r="A42" s="2"/>
      <c r="B42" s="1"/>
      <c r="C42" s="1"/>
      <c r="D42" s="1"/>
      <c r="E42" s="1"/>
      <c r="F42" s="1"/>
      <c r="G42" s="1"/>
      <c r="H42" s="1"/>
      <c r="I42" s="1"/>
      <c r="J42" s="1"/>
      <c r="K42" s="1"/>
      <c r="L42" s="1"/>
      <c r="M42" s="1"/>
      <c r="N42" s="1"/>
      <c r="O42" s="1"/>
      <c r="P42" s="1"/>
      <c r="Q42" s="1"/>
      <c r="R42" s="1"/>
      <c r="S42" s="1"/>
      <c r="T42" s="1"/>
      <c r="U42" s="1"/>
      <c r="V42" s="1"/>
      <c r="W42" s="1"/>
      <c r="X42" s="1"/>
      <c r="Y42" s="1"/>
      <c r="Z42" s="1"/>
    </row>
    <row r="43">
      <c r="A43" s="2"/>
      <c r="B43" s="1"/>
      <c r="C43" s="1"/>
      <c r="D43" s="1"/>
      <c r="E43" s="1"/>
      <c r="F43" s="1"/>
      <c r="G43" s="1"/>
      <c r="H43" s="1"/>
      <c r="I43" s="1"/>
      <c r="J43" s="1"/>
      <c r="K43" s="1"/>
      <c r="L43" s="1"/>
      <c r="M43" s="1"/>
      <c r="N43" s="1"/>
      <c r="O43" s="1"/>
      <c r="P43" s="1"/>
      <c r="Q43" s="1"/>
      <c r="R43" s="1"/>
      <c r="S43" s="1"/>
      <c r="T43" s="1"/>
      <c r="U43" s="1"/>
      <c r="V43" s="1"/>
      <c r="W43" s="1"/>
      <c r="X43" s="1"/>
      <c r="Y43" s="1"/>
      <c r="Z43" s="1"/>
    </row>
    <row r="44">
      <c r="A44" s="2"/>
      <c r="B44" s="1"/>
      <c r="C44" s="1"/>
      <c r="D44" s="1"/>
      <c r="E44" s="1"/>
      <c r="F44" s="1"/>
      <c r="G44" s="1"/>
      <c r="H44" s="1"/>
      <c r="I44" s="1"/>
      <c r="J44" s="1"/>
      <c r="K44" s="1"/>
      <c r="L44" s="1"/>
      <c r="M44" s="1"/>
      <c r="N44" s="1"/>
      <c r="O44" s="1"/>
      <c r="P44" s="1"/>
      <c r="Q44" s="1"/>
      <c r="R44" s="1"/>
      <c r="S44" s="1"/>
      <c r="T44" s="1"/>
      <c r="U44" s="1"/>
      <c r="V44" s="1"/>
      <c r="W44" s="1"/>
      <c r="X44" s="1"/>
      <c r="Y44" s="1"/>
      <c r="Z44" s="1"/>
    </row>
    <row r="45">
      <c r="A45" s="2"/>
      <c r="B45" s="1"/>
      <c r="C45" s="1"/>
      <c r="D45" s="1"/>
      <c r="E45" s="1"/>
      <c r="F45" s="1"/>
      <c r="G45" s="1"/>
      <c r="H45" s="1"/>
      <c r="I45" s="1"/>
      <c r="J45" s="1"/>
      <c r="K45" s="1"/>
      <c r="L45" s="1"/>
      <c r="M45" s="1"/>
      <c r="N45" s="1"/>
      <c r="O45" s="1"/>
      <c r="P45" s="1"/>
      <c r="Q45" s="1"/>
      <c r="R45" s="1"/>
      <c r="S45" s="1"/>
      <c r="T45" s="1"/>
      <c r="U45" s="1"/>
      <c r="V45" s="1"/>
      <c r="W45" s="1"/>
      <c r="X45" s="1"/>
      <c r="Y45" s="1"/>
      <c r="Z45" s="1"/>
    </row>
    <row r="46">
      <c r="A46" s="2"/>
      <c r="B46" s="1"/>
      <c r="C46" s="1"/>
      <c r="D46" s="1"/>
      <c r="E46" s="1"/>
      <c r="F46" s="1"/>
      <c r="G46" s="1"/>
      <c r="H46" s="1"/>
      <c r="I46" s="1"/>
      <c r="J46" s="1"/>
      <c r="K46" s="1"/>
      <c r="L46" s="1"/>
      <c r="M46" s="1"/>
      <c r="N46" s="1"/>
      <c r="O46" s="1"/>
      <c r="P46" s="1"/>
      <c r="Q46" s="1"/>
      <c r="R46" s="1"/>
      <c r="S46" s="1"/>
      <c r="T46" s="1"/>
      <c r="U46" s="1"/>
      <c r="V46" s="1"/>
      <c r="W46" s="1"/>
      <c r="X46" s="1"/>
      <c r="Y46" s="1"/>
      <c r="Z46" s="1"/>
    </row>
    <row r="47">
      <c r="A47" s="2"/>
      <c r="B47" s="1"/>
      <c r="C47" s="1"/>
      <c r="D47" s="1"/>
      <c r="E47" s="1"/>
      <c r="F47" s="1"/>
      <c r="G47" s="1"/>
      <c r="H47" s="1"/>
      <c r="I47" s="1"/>
      <c r="J47" s="1"/>
      <c r="K47" s="1"/>
      <c r="L47" s="1"/>
      <c r="M47" s="1"/>
      <c r="N47" s="1"/>
      <c r="O47" s="1"/>
      <c r="P47" s="1"/>
      <c r="Q47" s="1"/>
      <c r="R47" s="1"/>
      <c r="S47" s="1"/>
      <c r="T47" s="1"/>
      <c r="U47" s="1"/>
      <c r="V47" s="1"/>
      <c r="W47" s="1"/>
      <c r="X47" s="1"/>
      <c r="Y47" s="1"/>
      <c r="Z47" s="1"/>
    </row>
    <row r="48">
      <c r="A48" s="2"/>
      <c r="B48" s="1"/>
      <c r="C48" s="1"/>
      <c r="D48" s="1"/>
      <c r="E48" s="1"/>
      <c r="F48" s="1"/>
      <c r="G48" s="1"/>
      <c r="H48" s="1"/>
      <c r="I48" s="1"/>
      <c r="J48" s="1"/>
      <c r="K48" s="1"/>
      <c r="L48" s="1"/>
      <c r="M48" s="1"/>
      <c r="N48" s="1"/>
      <c r="O48" s="1"/>
      <c r="P48" s="1"/>
      <c r="Q48" s="1"/>
      <c r="R48" s="1"/>
      <c r="S48" s="1"/>
      <c r="T48" s="1"/>
      <c r="U48" s="1"/>
      <c r="V48" s="1"/>
      <c r="W48" s="1"/>
      <c r="X48" s="1"/>
      <c r="Y48" s="1"/>
      <c r="Z48" s="1"/>
    </row>
    <row r="49">
      <c r="A49" s="2"/>
      <c r="B49" s="1"/>
      <c r="C49" s="1"/>
      <c r="D49" s="1"/>
      <c r="E49" s="1"/>
      <c r="F49" s="1"/>
      <c r="G49" s="1"/>
      <c r="H49" s="1"/>
      <c r="I49" s="1"/>
      <c r="J49" s="1"/>
      <c r="K49" s="1"/>
      <c r="L49" s="1"/>
      <c r="M49" s="1"/>
      <c r="N49" s="1"/>
      <c r="O49" s="1"/>
      <c r="P49" s="1"/>
      <c r="Q49" s="1"/>
      <c r="R49" s="1"/>
      <c r="S49" s="1"/>
      <c r="T49" s="1"/>
      <c r="U49" s="1"/>
      <c r="V49" s="1"/>
      <c r="W49" s="1"/>
      <c r="X49" s="1"/>
      <c r="Y49" s="1"/>
      <c r="Z49" s="1"/>
    </row>
    <row r="50">
      <c r="A50" s="2"/>
      <c r="B50" s="1"/>
      <c r="C50" s="1"/>
      <c r="D50" s="1"/>
      <c r="E50" s="1"/>
      <c r="F50" s="1"/>
      <c r="G50" s="1"/>
      <c r="H50" s="1"/>
      <c r="I50" s="1"/>
      <c r="J50" s="1"/>
      <c r="K50" s="1"/>
      <c r="L50" s="1"/>
      <c r="M50" s="1"/>
      <c r="N50" s="1"/>
      <c r="O50" s="1"/>
      <c r="P50" s="1"/>
      <c r="Q50" s="1"/>
      <c r="R50" s="1"/>
      <c r="S50" s="1"/>
      <c r="T50" s="1"/>
      <c r="U50" s="1"/>
      <c r="V50" s="1"/>
      <c r="W50" s="1"/>
      <c r="X50" s="1"/>
      <c r="Y50" s="1"/>
      <c r="Z50" s="1"/>
    </row>
    <row r="51">
      <c r="A51" s="2"/>
      <c r="B51" s="1"/>
      <c r="C51" s="1"/>
      <c r="D51" s="1"/>
      <c r="E51" s="1"/>
      <c r="F51" s="1"/>
      <c r="G51" s="1"/>
      <c r="H51" s="1"/>
      <c r="I51" s="1"/>
      <c r="J51" s="1"/>
      <c r="K51" s="1"/>
      <c r="L51" s="1"/>
      <c r="M51" s="1"/>
      <c r="N51" s="1"/>
      <c r="O51" s="1"/>
      <c r="P51" s="1"/>
      <c r="Q51" s="1"/>
      <c r="R51" s="1"/>
      <c r="S51" s="1"/>
      <c r="T51" s="1"/>
      <c r="U51" s="1"/>
      <c r="V51" s="1"/>
      <c r="W51" s="1"/>
      <c r="X51" s="1"/>
      <c r="Y51" s="1"/>
      <c r="Z51" s="1"/>
    </row>
    <row r="52">
      <c r="A52" s="2"/>
      <c r="B52" s="1"/>
      <c r="C52" s="1"/>
      <c r="D52" s="1"/>
      <c r="E52" s="1"/>
      <c r="F52" s="1"/>
      <c r="G52" s="1"/>
      <c r="H52" s="1"/>
      <c r="I52" s="1"/>
      <c r="J52" s="1"/>
      <c r="K52" s="1"/>
      <c r="L52" s="1"/>
      <c r="M52" s="1"/>
      <c r="N52" s="1"/>
      <c r="O52" s="1"/>
      <c r="P52" s="1"/>
      <c r="Q52" s="1"/>
      <c r="R52" s="1"/>
      <c r="S52" s="1"/>
      <c r="T52" s="1"/>
      <c r="U52" s="1"/>
      <c r="V52" s="1"/>
      <c r="W52" s="1"/>
      <c r="X52" s="1"/>
      <c r="Y52" s="1"/>
      <c r="Z52" s="1"/>
    </row>
    <row r="53">
      <c r="A53" s="2"/>
      <c r="B53" s="1"/>
      <c r="C53" s="1"/>
      <c r="D53" s="1"/>
      <c r="E53" s="1"/>
      <c r="F53" s="1"/>
      <c r="G53" s="1"/>
      <c r="H53" s="1"/>
      <c r="I53" s="1"/>
      <c r="J53" s="1"/>
      <c r="K53" s="1"/>
      <c r="L53" s="1"/>
      <c r="M53" s="1"/>
      <c r="N53" s="1"/>
      <c r="O53" s="1"/>
      <c r="P53" s="1"/>
      <c r="Q53" s="1"/>
      <c r="R53" s="1"/>
      <c r="S53" s="1"/>
      <c r="T53" s="1"/>
      <c r="U53" s="1"/>
      <c r="V53" s="1"/>
      <c r="W53" s="1"/>
      <c r="X53" s="1"/>
      <c r="Y53" s="1"/>
      <c r="Z53" s="1"/>
    </row>
    <row r="54">
      <c r="A54" s="2"/>
      <c r="B54" s="1"/>
      <c r="C54" s="1"/>
      <c r="D54" s="1"/>
      <c r="E54" s="1"/>
      <c r="F54" s="1"/>
      <c r="G54" s="1"/>
      <c r="H54" s="1"/>
      <c r="I54" s="1"/>
      <c r="J54" s="1"/>
      <c r="K54" s="1"/>
      <c r="L54" s="1"/>
      <c r="M54" s="1"/>
      <c r="N54" s="1"/>
      <c r="O54" s="1"/>
      <c r="P54" s="1"/>
      <c r="Q54" s="1"/>
      <c r="R54" s="1"/>
      <c r="S54" s="1"/>
      <c r="T54" s="1"/>
      <c r="U54" s="1"/>
      <c r="V54" s="1"/>
      <c r="W54" s="1"/>
      <c r="X54" s="1"/>
      <c r="Y54" s="1"/>
      <c r="Z54" s="1"/>
    </row>
    <row r="55">
      <c r="A55" s="2"/>
      <c r="B55" s="1"/>
      <c r="C55" s="1"/>
      <c r="D55" s="1"/>
      <c r="E55" s="1"/>
      <c r="F55" s="1"/>
      <c r="G55" s="1"/>
      <c r="H55" s="1"/>
      <c r="I55" s="1"/>
      <c r="J55" s="1"/>
      <c r="K55" s="1"/>
      <c r="L55" s="1"/>
      <c r="M55" s="1"/>
      <c r="N55" s="1"/>
      <c r="O55" s="1"/>
      <c r="P55" s="1"/>
      <c r="Q55" s="1"/>
      <c r="R55" s="1"/>
      <c r="S55" s="1"/>
      <c r="T55" s="1"/>
      <c r="U55" s="1"/>
      <c r="V55" s="1"/>
      <c r="W55" s="1"/>
      <c r="X55" s="1"/>
      <c r="Y55" s="1"/>
      <c r="Z55" s="1"/>
    </row>
    <row r="56">
      <c r="A56" s="2"/>
      <c r="B56" s="1"/>
      <c r="C56" s="1"/>
      <c r="D56" s="1"/>
      <c r="E56" s="1"/>
      <c r="F56" s="1"/>
      <c r="G56" s="1"/>
      <c r="H56" s="1"/>
      <c r="I56" s="1"/>
      <c r="J56" s="1"/>
      <c r="K56" s="1"/>
      <c r="L56" s="1"/>
      <c r="M56" s="1"/>
      <c r="N56" s="1"/>
      <c r="O56" s="1"/>
      <c r="P56" s="1"/>
      <c r="Q56" s="1"/>
      <c r="R56" s="1"/>
      <c r="S56" s="1"/>
      <c r="T56" s="1"/>
      <c r="U56" s="1"/>
      <c r="V56" s="1"/>
      <c r="W56" s="1"/>
      <c r="X56" s="1"/>
      <c r="Y56" s="1"/>
      <c r="Z56" s="1"/>
    </row>
    <row r="57">
      <c r="A57" s="2"/>
      <c r="B57" s="1"/>
      <c r="C57" s="1"/>
      <c r="D57" s="1"/>
      <c r="E57" s="1"/>
      <c r="F57" s="1"/>
      <c r="G57" s="1"/>
      <c r="H57" s="1"/>
      <c r="I57" s="1"/>
      <c r="J57" s="1"/>
      <c r="K57" s="1"/>
      <c r="L57" s="1"/>
      <c r="M57" s="1"/>
      <c r="N57" s="1"/>
      <c r="O57" s="1"/>
      <c r="P57" s="1"/>
      <c r="Q57" s="1"/>
      <c r="R57" s="1"/>
      <c r="S57" s="1"/>
      <c r="T57" s="1"/>
      <c r="U57" s="1"/>
      <c r="V57" s="1"/>
      <c r="W57" s="1"/>
      <c r="X57" s="1"/>
      <c r="Y57" s="1"/>
      <c r="Z57" s="1"/>
    </row>
    <row r="58">
      <c r="A58" s="2"/>
      <c r="B58" s="1"/>
      <c r="C58" s="1"/>
      <c r="D58" s="1"/>
      <c r="E58" s="1"/>
      <c r="F58" s="1"/>
      <c r="G58" s="1"/>
      <c r="H58" s="1"/>
      <c r="I58" s="1"/>
      <c r="J58" s="1"/>
      <c r="K58" s="1"/>
      <c r="L58" s="1"/>
      <c r="M58" s="1"/>
      <c r="N58" s="1"/>
      <c r="O58" s="1"/>
      <c r="P58" s="1"/>
      <c r="Q58" s="1"/>
      <c r="R58" s="1"/>
      <c r="S58" s="1"/>
      <c r="T58" s="1"/>
      <c r="U58" s="1"/>
      <c r="V58" s="1"/>
      <c r="W58" s="1"/>
      <c r="X58" s="1"/>
      <c r="Y58" s="1"/>
      <c r="Z58" s="1"/>
    </row>
    <row r="59">
      <c r="A59" s="2"/>
      <c r="B59" s="1"/>
      <c r="C59" s="1"/>
      <c r="D59" s="1"/>
      <c r="E59" s="1"/>
      <c r="F59" s="1"/>
      <c r="G59" s="1"/>
      <c r="H59" s="1"/>
      <c r="I59" s="1"/>
      <c r="J59" s="1"/>
      <c r="K59" s="1"/>
      <c r="L59" s="1"/>
      <c r="M59" s="1"/>
      <c r="N59" s="1"/>
      <c r="O59" s="1"/>
      <c r="P59" s="1"/>
      <c r="Q59" s="1"/>
      <c r="R59" s="1"/>
      <c r="S59" s="1"/>
      <c r="T59" s="1"/>
      <c r="U59" s="1"/>
      <c r="V59" s="1"/>
      <c r="W59" s="1"/>
      <c r="X59" s="1"/>
      <c r="Y59" s="1"/>
      <c r="Z59" s="1"/>
    </row>
    <row r="60">
      <c r="A60" s="2"/>
      <c r="B60" s="1"/>
      <c r="C60" s="1"/>
      <c r="D60" s="1"/>
      <c r="E60" s="1"/>
      <c r="F60" s="1"/>
      <c r="G60" s="1"/>
      <c r="H60" s="1"/>
      <c r="I60" s="1"/>
      <c r="J60" s="1"/>
      <c r="K60" s="1"/>
      <c r="L60" s="1"/>
      <c r="M60" s="1"/>
      <c r="N60" s="1"/>
      <c r="O60" s="1"/>
      <c r="P60" s="1"/>
      <c r="Q60" s="1"/>
      <c r="R60" s="1"/>
      <c r="S60" s="1"/>
      <c r="T60" s="1"/>
      <c r="U60" s="1"/>
      <c r="V60" s="1"/>
      <c r="W60" s="1"/>
      <c r="X60" s="1"/>
      <c r="Y60" s="1"/>
      <c r="Z60" s="1"/>
    </row>
    <row r="61">
      <c r="A61" s="2"/>
      <c r="B61" s="1"/>
      <c r="C61" s="1"/>
      <c r="D61" s="1"/>
      <c r="E61" s="1"/>
      <c r="F61" s="1"/>
      <c r="G61" s="1"/>
      <c r="H61" s="1"/>
      <c r="I61" s="1"/>
      <c r="J61" s="1"/>
      <c r="K61" s="1"/>
      <c r="L61" s="1"/>
      <c r="M61" s="1"/>
      <c r="N61" s="1"/>
      <c r="O61" s="1"/>
      <c r="P61" s="1"/>
      <c r="Q61" s="1"/>
      <c r="R61" s="1"/>
      <c r="S61" s="1"/>
      <c r="T61" s="1"/>
      <c r="U61" s="1"/>
      <c r="V61" s="1"/>
      <c r="W61" s="1"/>
      <c r="X61" s="1"/>
      <c r="Y61" s="1"/>
      <c r="Z61" s="1"/>
    </row>
    <row r="62">
      <c r="A62" s="2"/>
      <c r="B62" s="1"/>
      <c r="C62" s="1"/>
      <c r="D62" s="1"/>
      <c r="E62" s="1"/>
      <c r="F62" s="1"/>
      <c r="G62" s="1"/>
      <c r="H62" s="1"/>
      <c r="I62" s="1"/>
      <c r="J62" s="1"/>
      <c r="K62" s="1"/>
      <c r="L62" s="1"/>
      <c r="M62" s="1"/>
      <c r="N62" s="1"/>
      <c r="O62" s="1"/>
      <c r="P62" s="1"/>
      <c r="Q62" s="1"/>
      <c r="R62" s="1"/>
      <c r="S62" s="1"/>
      <c r="T62" s="1"/>
      <c r="U62" s="1"/>
      <c r="V62" s="1"/>
      <c r="W62" s="1"/>
      <c r="X62" s="1"/>
      <c r="Y62" s="1"/>
      <c r="Z62" s="1"/>
    </row>
    <row r="63">
      <c r="A63" s="2"/>
      <c r="B63" s="1"/>
      <c r="C63" s="1"/>
      <c r="D63" s="1"/>
      <c r="E63" s="1"/>
      <c r="F63" s="1"/>
      <c r="G63" s="1"/>
      <c r="H63" s="1"/>
      <c r="I63" s="1"/>
      <c r="J63" s="1"/>
      <c r="K63" s="1"/>
      <c r="L63" s="1"/>
      <c r="M63" s="1"/>
      <c r="N63" s="1"/>
      <c r="O63" s="1"/>
      <c r="P63" s="1"/>
      <c r="Q63" s="1"/>
      <c r="R63" s="1"/>
      <c r="S63" s="1"/>
      <c r="T63" s="1"/>
      <c r="U63" s="1"/>
      <c r="V63" s="1"/>
      <c r="W63" s="1"/>
      <c r="X63" s="1"/>
      <c r="Y63" s="1"/>
      <c r="Z63" s="1"/>
    </row>
    <row r="64">
      <c r="A64" s="2"/>
      <c r="B64" s="1"/>
      <c r="C64" s="1"/>
      <c r="D64" s="1"/>
      <c r="E64" s="1"/>
      <c r="F64" s="1"/>
      <c r="G64" s="1"/>
      <c r="H64" s="1"/>
      <c r="I64" s="1"/>
      <c r="J64" s="1"/>
      <c r="K64" s="1"/>
      <c r="L64" s="1"/>
      <c r="M64" s="1"/>
      <c r="N64" s="1"/>
      <c r="O64" s="1"/>
      <c r="P64" s="1"/>
      <c r="Q64" s="1"/>
      <c r="R64" s="1"/>
      <c r="S64" s="1"/>
      <c r="T64" s="1"/>
      <c r="U64" s="1"/>
      <c r="V64" s="1"/>
      <c r="W64" s="1"/>
      <c r="X64" s="1"/>
      <c r="Y64" s="1"/>
      <c r="Z64" s="1"/>
    </row>
    <row r="65">
      <c r="A65" s="2"/>
      <c r="B65" s="1"/>
      <c r="C65" s="1"/>
      <c r="D65" s="1"/>
      <c r="E65" s="1"/>
      <c r="F65" s="1"/>
      <c r="G65" s="1"/>
      <c r="H65" s="1"/>
      <c r="I65" s="1"/>
      <c r="J65" s="1"/>
      <c r="K65" s="1"/>
      <c r="L65" s="1"/>
      <c r="M65" s="1"/>
      <c r="N65" s="1"/>
      <c r="O65" s="1"/>
      <c r="P65" s="1"/>
      <c r="Q65" s="1"/>
      <c r="R65" s="1"/>
      <c r="S65" s="1"/>
      <c r="T65" s="1"/>
      <c r="U65" s="1"/>
      <c r="V65" s="1"/>
      <c r="W65" s="1"/>
      <c r="X65" s="1"/>
      <c r="Y65" s="1"/>
      <c r="Z65" s="1"/>
    </row>
    <row r="66">
      <c r="A66" s="2"/>
      <c r="B66" s="1"/>
      <c r="C66" s="1"/>
      <c r="D66" s="1"/>
      <c r="E66" s="1"/>
      <c r="F66" s="1"/>
      <c r="G66" s="1"/>
      <c r="H66" s="1"/>
      <c r="I66" s="1"/>
      <c r="J66" s="1"/>
      <c r="K66" s="1"/>
      <c r="L66" s="1"/>
      <c r="M66" s="1"/>
      <c r="N66" s="1"/>
      <c r="O66" s="1"/>
      <c r="P66" s="1"/>
      <c r="Q66" s="1"/>
      <c r="R66" s="1"/>
      <c r="S66" s="1"/>
      <c r="T66" s="1"/>
      <c r="U66" s="1"/>
      <c r="V66" s="1"/>
      <c r="W66" s="1"/>
      <c r="X66" s="1"/>
      <c r="Y66" s="1"/>
      <c r="Z66" s="1"/>
    </row>
    <row r="67">
      <c r="A67" s="2"/>
      <c r="B67" s="1"/>
      <c r="C67" s="1"/>
      <c r="D67" s="1"/>
      <c r="E67" s="1"/>
      <c r="F67" s="1"/>
      <c r="G67" s="1"/>
      <c r="H67" s="1"/>
      <c r="I67" s="1"/>
      <c r="J67" s="1"/>
      <c r="K67" s="1"/>
      <c r="L67" s="1"/>
      <c r="M67" s="1"/>
      <c r="N67" s="1"/>
      <c r="O67" s="1"/>
      <c r="P67" s="1"/>
      <c r="Q67" s="1"/>
      <c r="R67" s="1"/>
      <c r="S67" s="1"/>
      <c r="T67" s="1"/>
      <c r="U67" s="1"/>
      <c r="V67" s="1"/>
      <c r="W67" s="1"/>
      <c r="X67" s="1"/>
      <c r="Y67" s="1"/>
      <c r="Z67" s="1"/>
    </row>
    <row r="68">
      <c r="A68" s="2"/>
      <c r="B68" s="1"/>
      <c r="C68" s="1"/>
      <c r="D68" s="1"/>
      <c r="E68" s="1"/>
      <c r="F68" s="1"/>
      <c r="G68" s="1"/>
      <c r="H68" s="1"/>
      <c r="I68" s="1"/>
      <c r="J68" s="1"/>
      <c r="K68" s="1"/>
      <c r="L68" s="1"/>
      <c r="M68" s="1"/>
      <c r="N68" s="1"/>
      <c r="O68" s="1"/>
      <c r="P68" s="1"/>
      <c r="Q68" s="1"/>
      <c r="R68" s="1"/>
      <c r="S68" s="1"/>
      <c r="T68" s="1"/>
      <c r="U68" s="1"/>
      <c r="V68" s="1"/>
      <c r="W68" s="1"/>
      <c r="X68" s="1"/>
      <c r="Y68" s="1"/>
      <c r="Z68" s="1"/>
    </row>
    <row r="69">
      <c r="A69" s="2"/>
      <c r="B69" s="1"/>
      <c r="C69" s="1"/>
      <c r="D69" s="1"/>
      <c r="E69" s="1"/>
      <c r="F69" s="1"/>
      <c r="G69" s="1"/>
      <c r="H69" s="1"/>
      <c r="I69" s="1"/>
      <c r="J69" s="1"/>
      <c r="K69" s="1"/>
      <c r="L69" s="1"/>
      <c r="M69" s="1"/>
      <c r="N69" s="1"/>
      <c r="O69" s="1"/>
      <c r="P69" s="1"/>
      <c r="Q69" s="1"/>
      <c r="R69" s="1"/>
      <c r="S69" s="1"/>
      <c r="T69" s="1"/>
      <c r="U69" s="1"/>
      <c r="V69" s="1"/>
      <c r="W69" s="1"/>
      <c r="X69" s="1"/>
      <c r="Y69" s="1"/>
      <c r="Z69" s="1"/>
    </row>
    <row r="70">
      <c r="A70" s="2"/>
      <c r="B70" s="1"/>
      <c r="C70" s="1"/>
      <c r="D70" s="1"/>
      <c r="E70" s="1"/>
      <c r="F70" s="1"/>
      <c r="G70" s="1"/>
      <c r="H70" s="1"/>
      <c r="I70" s="1"/>
      <c r="J70" s="1"/>
      <c r="K70" s="1"/>
      <c r="L70" s="1"/>
      <c r="M70" s="1"/>
      <c r="N70" s="1"/>
      <c r="O70" s="1"/>
      <c r="P70" s="1"/>
      <c r="Q70" s="1"/>
      <c r="R70" s="1"/>
      <c r="S70" s="1"/>
      <c r="T70" s="1"/>
      <c r="U70" s="1"/>
      <c r="V70" s="1"/>
      <c r="W70" s="1"/>
      <c r="X70" s="1"/>
      <c r="Y70" s="1"/>
      <c r="Z70" s="1"/>
    </row>
    <row r="71">
      <c r="A71" s="2"/>
      <c r="B71" s="1"/>
      <c r="C71" s="1"/>
      <c r="D71" s="1"/>
      <c r="E71" s="1"/>
      <c r="F71" s="1"/>
      <c r="G71" s="1"/>
      <c r="H71" s="1"/>
      <c r="I71" s="1"/>
      <c r="J71" s="1"/>
      <c r="K71" s="1"/>
      <c r="L71" s="1"/>
      <c r="M71" s="1"/>
      <c r="N71" s="1"/>
      <c r="O71" s="1"/>
      <c r="P71" s="1"/>
      <c r="Q71" s="1"/>
      <c r="R71" s="1"/>
      <c r="S71" s="1"/>
      <c r="T71" s="1"/>
      <c r="U71" s="1"/>
      <c r="V71" s="1"/>
      <c r="W71" s="1"/>
      <c r="X71" s="1"/>
      <c r="Y71" s="1"/>
      <c r="Z71" s="1"/>
    </row>
    <row r="72">
      <c r="A72" s="2"/>
      <c r="B72" s="1"/>
      <c r="C72" s="1"/>
      <c r="D72" s="1"/>
      <c r="E72" s="1"/>
      <c r="F72" s="1"/>
      <c r="G72" s="1"/>
      <c r="H72" s="1"/>
      <c r="I72" s="1"/>
      <c r="J72" s="1"/>
      <c r="K72" s="1"/>
      <c r="L72" s="1"/>
      <c r="M72" s="1"/>
      <c r="N72" s="1"/>
      <c r="O72" s="1"/>
      <c r="P72" s="1"/>
      <c r="Q72" s="1"/>
      <c r="R72" s="1"/>
      <c r="S72" s="1"/>
      <c r="T72" s="1"/>
      <c r="U72" s="1"/>
      <c r="V72" s="1"/>
      <c r="W72" s="1"/>
      <c r="X72" s="1"/>
      <c r="Y72" s="1"/>
      <c r="Z72" s="1"/>
    </row>
    <row r="73">
      <c r="A73" s="2"/>
      <c r="B73" s="1"/>
      <c r="C73" s="1"/>
      <c r="D73" s="1"/>
      <c r="E73" s="1"/>
      <c r="F73" s="1"/>
      <c r="G73" s="1"/>
      <c r="H73" s="1"/>
      <c r="I73" s="1"/>
      <c r="J73" s="1"/>
      <c r="K73" s="1"/>
      <c r="L73" s="1"/>
      <c r="M73" s="1"/>
      <c r="N73" s="1"/>
      <c r="O73" s="1"/>
      <c r="P73" s="1"/>
      <c r="Q73" s="1"/>
      <c r="R73" s="1"/>
      <c r="S73" s="1"/>
      <c r="T73" s="1"/>
      <c r="U73" s="1"/>
      <c r="V73" s="1"/>
      <c r="W73" s="1"/>
      <c r="X73" s="1"/>
      <c r="Y73" s="1"/>
      <c r="Z73" s="1"/>
    </row>
    <row r="74">
      <c r="A74" s="2"/>
      <c r="B74" s="1"/>
      <c r="C74" s="1"/>
      <c r="D74" s="1"/>
      <c r="E74" s="1"/>
      <c r="F74" s="1"/>
      <c r="G74" s="1"/>
      <c r="H74" s="1"/>
      <c r="I74" s="1"/>
      <c r="J74" s="1"/>
      <c r="K74" s="1"/>
      <c r="L74" s="1"/>
      <c r="M74" s="1"/>
      <c r="N74" s="1"/>
      <c r="O74" s="1"/>
      <c r="P74" s="1"/>
      <c r="Q74" s="1"/>
      <c r="R74" s="1"/>
      <c r="S74" s="1"/>
      <c r="T74" s="1"/>
      <c r="U74" s="1"/>
      <c r="V74" s="1"/>
      <c r="W74" s="1"/>
      <c r="X74" s="1"/>
      <c r="Y74" s="1"/>
      <c r="Z74" s="1"/>
    </row>
    <row r="75">
      <c r="A75" s="2"/>
      <c r="B75" s="1"/>
      <c r="C75" s="1"/>
      <c r="D75" s="1"/>
      <c r="E75" s="1"/>
      <c r="F75" s="1"/>
      <c r="G75" s="1"/>
      <c r="H75" s="1"/>
      <c r="I75" s="1"/>
      <c r="J75" s="1"/>
      <c r="K75" s="1"/>
      <c r="L75" s="1"/>
      <c r="M75" s="1"/>
      <c r="N75" s="1"/>
      <c r="O75" s="1"/>
      <c r="P75" s="1"/>
      <c r="Q75" s="1"/>
      <c r="R75" s="1"/>
      <c r="S75" s="1"/>
      <c r="T75" s="1"/>
      <c r="U75" s="1"/>
      <c r="V75" s="1"/>
      <c r="W75" s="1"/>
      <c r="X75" s="1"/>
      <c r="Y75" s="1"/>
      <c r="Z75" s="1"/>
    </row>
    <row r="76">
      <c r="A76" s="2"/>
      <c r="B76" s="1"/>
      <c r="C76" s="1"/>
      <c r="D76" s="1"/>
      <c r="E76" s="1"/>
      <c r="F76" s="1"/>
      <c r="G76" s="1"/>
      <c r="H76" s="1"/>
      <c r="I76" s="1"/>
      <c r="J76" s="1"/>
      <c r="K76" s="1"/>
      <c r="L76" s="1"/>
      <c r="M76" s="1"/>
      <c r="N76" s="1"/>
      <c r="O76" s="1"/>
      <c r="P76" s="1"/>
      <c r="Q76" s="1"/>
      <c r="R76" s="1"/>
      <c r="S76" s="1"/>
      <c r="T76" s="1"/>
      <c r="U76" s="1"/>
      <c r="V76" s="1"/>
      <c r="W76" s="1"/>
      <c r="X76" s="1"/>
      <c r="Y76" s="1"/>
      <c r="Z76" s="1"/>
    </row>
    <row r="77">
      <c r="A77" s="2"/>
      <c r="B77" s="1"/>
      <c r="C77" s="1"/>
      <c r="D77" s="1"/>
      <c r="E77" s="1"/>
      <c r="F77" s="1"/>
      <c r="G77" s="1"/>
      <c r="H77" s="1"/>
      <c r="I77" s="1"/>
      <c r="J77" s="1"/>
      <c r="K77" s="1"/>
      <c r="L77" s="1"/>
      <c r="M77" s="1"/>
      <c r="N77" s="1"/>
      <c r="O77" s="1"/>
      <c r="P77" s="1"/>
      <c r="Q77" s="1"/>
      <c r="R77" s="1"/>
      <c r="S77" s="1"/>
      <c r="T77" s="1"/>
      <c r="U77" s="1"/>
      <c r="V77" s="1"/>
      <c r="W77" s="1"/>
      <c r="X77" s="1"/>
      <c r="Y77" s="1"/>
      <c r="Z77" s="1"/>
    </row>
    <row r="78">
      <c r="A78" s="2"/>
      <c r="B78" s="1"/>
      <c r="C78" s="1"/>
      <c r="D78" s="1"/>
      <c r="E78" s="1"/>
      <c r="F78" s="1"/>
      <c r="G78" s="1"/>
      <c r="H78" s="1"/>
      <c r="I78" s="1"/>
      <c r="J78" s="1"/>
      <c r="K78" s="1"/>
      <c r="L78" s="1"/>
      <c r="M78" s="1"/>
      <c r="N78" s="1"/>
      <c r="O78" s="1"/>
      <c r="P78" s="1"/>
      <c r="Q78" s="1"/>
      <c r="R78" s="1"/>
      <c r="S78" s="1"/>
      <c r="T78" s="1"/>
      <c r="U78" s="1"/>
      <c r="V78" s="1"/>
      <c r="W78" s="1"/>
      <c r="X78" s="1"/>
      <c r="Y78" s="1"/>
      <c r="Z78" s="1"/>
    </row>
    <row r="79">
      <c r="A79" s="2"/>
      <c r="B79" s="1"/>
      <c r="C79" s="1"/>
      <c r="D79" s="1"/>
      <c r="E79" s="1"/>
      <c r="F79" s="1"/>
      <c r="G79" s="1"/>
      <c r="H79" s="1"/>
      <c r="I79" s="1"/>
      <c r="J79" s="1"/>
      <c r="K79" s="1"/>
      <c r="L79" s="1"/>
      <c r="M79" s="1"/>
      <c r="N79" s="1"/>
      <c r="O79" s="1"/>
      <c r="P79" s="1"/>
      <c r="Q79" s="1"/>
      <c r="R79" s="1"/>
      <c r="S79" s="1"/>
      <c r="T79" s="1"/>
      <c r="U79" s="1"/>
      <c r="V79" s="1"/>
      <c r="W79" s="1"/>
      <c r="X79" s="1"/>
      <c r="Y79" s="1"/>
      <c r="Z79" s="1"/>
    </row>
    <row r="80">
      <c r="A80" s="2"/>
      <c r="B80" s="1"/>
      <c r="C80" s="1"/>
      <c r="D80" s="1"/>
      <c r="E80" s="1"/>
      <c r="F80" s="1"/>
      <c r="G80" s="1"/>
      <c r="H80" s="1"/>
      <c r="I80" s="1"/>
      <c r="J80" s="1"/>
      <c r="K80" s="1"/>
      <c r="L80" s="1"/>
      <c r="M80" s="1"/>
      <c r="N80" s="1"/>
      <c r="O80" s="1"/>
      <c r="P80" s="1"/>
      <c r="Q80" s="1"/>
      <c r="R80" s="1"/>
      <c r="S80" s="1"/>
      <c r="T80" s="1"/>
      <c r="U80" s="1"/>
      <c r="V80" s="1"/>
      <c r="W80" s="1"/>
      <c r="X80" s="1"/>
      <c r="Y80" s="1"/>
      <c r="Z80" s="1"/>
    </row>
    <row r="81">
      <c r="A81" s="2"/>
      <c r="B81" s="1"/>
      <c r="C81" s="1"/>
      <c r="D81" s="1"/>
      <c r="E81" s="1"/>
      <c r="F81" s="1"/>
      <c r="G81" s="1"/>
      <c r="H81" s="1"/>
      <c r="I81" s="1"/>
      <c r="J81" s="1"/>
      <c r="K81" s="1"/>
      <c r="L81" s="1"/>
      <c r="M81" s="1"/>
      <c r="N81" s="1"/>
      <c r="O81" s="1"/>
      <c r="P81" s="1"/>
      <c r="Q81" s="1"/>
      <c r="R81" s="1"/>
      <c r="S81" s="1"/>
      <c r="T81" s="1"/>
      <c r="U81" s="1"/>
      <c r="V81" s="1"/>
      <c r="W81" s="1"/>
      <c r="X81" s="1"/>
      <c r="Y81" s="1"/>
      <c r="Z81" s="1"/>
    </row>
    <row r="82">
      <c r="A82" s="2"/>
      <c r="B82" s="1"/>
      <c r="C82" s="1"/>
      <c r="D82" s="1"/>
      <c r="E82" s="1"/>
      <c r="F82" s="1"/>
      <c r="G82" s="1"/>
      <c r="H82" s="1"/>
      <c r="I82" s="1"/>
      <c r="J82" s="1"/>
      <c r="K82" s="1"/>
      <c r="L82" s="1"/>
      <c r="M82" s="1"/>
      <c r="N82" s="1"/>
      <c r="O82" s="1"/>
      <c r="P82" s="1"/>
      <c r="Q82" s="1"/>
      <c r="R82" s="1"/>
      <c r="S82" s="1"/>
      <c r="T82" s="1"/>
      <c r="U82" s="1"/>
      <c r="V82" s="1"/>
      <c r="W82" s="1"/>
      <c r="X82" s="1"/>
      <c r="Y82" s="1"/>
      <c r="Z82" s="1"/>
    </row>
    <row r="83">
      <c r="A83" s="2"/>
      <c r="B83" s="1"/>
      <c r="C83" s="1"/>
      <c r="D83" s="1"/>
      <c r="E83" s="1"/>
      <c r="F83" s="1"/>
      <c r="G83" s="1"/>
      <c r="H83" s="1"/>
      <c r="I83" s="1"/>
      <c r="J83" s="1"/>
      <c r="K83" s="1"/>
      <c r="L83" s="1"/>
      <c r="M83" s="1"/>
      <c r="N83" s="1"/>
      <c r="O83" s="1"/>
      <c r="P83" s="1"/>
      <c r="Q83" s="1"/>
      <c r="R83" s="1"/>
      <c r="S83" s="1"/>
      <c r="T83" s="1"/>
      <c r="U83" s="1"/>
      <c r="V83" s="1"/>
      <c r="W83" s="1"/>
      <c r="X83" s="1"/>
      <c r="Y83" s="1"/>
      <c r="Z83" s="1"/>
    </row>
    <row r="84">
      <c r="A84" s="2"/>
      <c r="B84" s="1"/>
      <c r="C84" s="1"/>
      <c r="D84" s="1"/>
      <c r="E84" s="1"/>
      <c r="F84" s="1"/>
      <c r="G84" s="1"/>
      <c r="H84" s="1"/>
      <c r="I84" s="1"/>
      <c r="J84" s="1"/>
      <c r="K84" s="1"/>
      <c r="L84" s="1"/>
      <c r="M84" s="1"/>
      <c r="N84" s="1"/>
      <c r="O84" s="1"/>
      <c r="P84" s="1"/>
      <c r="Q84" s="1"/>
      <c r="R84" s="1"/>
      <c r="S84" s="1"/>
      <c r="T84" s="1"/>
      <c r="U84" s="1"/>
      <c r="V84" s="1"/>
      <c r="W84" s="1"/>
      <c r="X84" s="1"/>
      <c r="Y84" s="1"/>
      <c r="Z84" s="1"/>
    </row>
    <row r="85">
      <c r="A85" s="2"/>
      <c r="B85" s="1"/>
      <c r="C85" s="1"/>
      <c r="D85" s="1"/>
      <c r="E85" s="1"/>
      <c r="F85" s="1"/>
      <c r="G85" s="1"/>
      <c r="H85" s="1"/>
      <c r="I85" s="1"/>
      <c r="J85" s="1"/>
      <c r="K85" s="1"/>
      <c r="L85" s="1"/>
      <c r="M85" s="1"/>
      <c r="N85" s="1"/>
      <c r="O85" s="1"/>
      <c r="P85" s="1"/>
      <c r="Q85" s="1"/>
      <c r="R85" s="1"/>
      <c r="S85" s="1"/>
      <c r="T85" s="1"/>
      <c r="U85" s="1"/>
      <c r="V85" s="1"/>
      <c r="W85" s="1"/>
      <c r="X85" s="1"/>
      <c r="Y85" s="1"/>
      <c r="Z85" s="1"/>
    </row>
    <row r="86">
      <c r="A86" s="2"/>
      <c r="B86" s="1"/>
      <c r="C86" s="1"/>
      <c r="D86" s="1"/>
      <c r="E86" s="1"/>
      <c r="F86" s="1"/>
      <c r="G86" s="1"/>
      <c r="H86" s="1"/>
      <c r="I86" s="1"/>
      <c r="J86" s="1"/>
      <c r="K86" s="1"/>
      <c r="L86" s="1"/>
      <c r="M86" s="1"/>
      <c r="N86" s="1"/>
      <c r="O86" s="1"/>
      <c r="P86" s="1"/>
      <c r="Q86" s="1"/>
      <c r="R86" s="1"/>
      <c r="S86" s="1"/>
      <c r="T86" s="1"/>
      <c r="U86" s="1"/>
      <c r="V86" s="1"/>
      <c r="W86" s="1"/>
      <c r="X86" s="1"/>
      <c r="Y86" s="1"/>
      <c r="Z86" s="1"/>
    </row>
    <row r="87">
      <c r="A87" s="2"/>
      <c r="B87" s="1"/>
      <c r="C87" s="1"/>
      <c r="D87" s="1"/>
      <c r="E87" s="1"/>
      <c r="F87" s="1"/>
      <c r="G87" s="1"/>
      <c r="H87" s="1"/>
      <c r="I87" s="1"/>
      <c r="J87" s="1"/>
      <c r="K87" s="1"/>
      <c r="L87" s="1"/>
      <c r="M87" s="1"/>
      <c r="N87" s="1"/>
      <c r="O87" s="1"/>
      <c r="P87" s="1"/>
      <c r="Q87" s="1"/>
      <c r="R87" s="1"/>
      <c r="S87" s="1"/>
      <c r="T87" s="1"/>
      <c r="U87" s="1"/>
      <c r="V87" s="1"/>
      <c r="W87" s="1"/>
      <c r="X87" s="1"/>
      <c r="Y87" s="1"/>
      <c r="Z87" s="1"/>
    </row>
    <row r="88">
      <c r="A88" s="2"/>
      <c r="B88" s="1"/>
      <c r="C88" s="1"/>
      <c r="D88" s="1"/>
      <c r="E88" s="1"/>
      <c r="F88" s="1"/>
      <c r="G88" s="1"/>
      <c r="H88" s="1"/>
      <c r="I88" s="1"/>
      <c r="J88" s="1"/>
      <c r="K88" s="1"/>
      <c r="L88" s="1"/>
      <c r="M88" s="1"/>
      <c r="N88" s="1"/>
      <c r="O88" s="1"/>
      <c r="P88" s="1"/>
      <c r="Q88" s="1"/>
      <c r="R88" s="1"/>
      <c r="S88" s="1"/>
      <c r="T88" s="1"/>
      <c r="U88" s="1"/>
      <c r="V88" s="1"/>
      <c r="W88" s="1"/>
      <c r="X88" s="1"/>
      <c r="Y88" s="1"/>
      <c r="Z88" s="1"/>
    </row>
    <row r="89">
      <c r="A89" s="2"/>
      <c r="B89" s="1"/>
      <c r="C89" s="1"/>
      <c r="D89" s="1"/>
      <c r="E89" s="1"/>
      <c r="F89" s="1"/>
      <c r="G89" s="1"/>
      <c r="H89" s="1"/>
      <c r="I89" s="1"/>
      <c r="J89" s="1"/>
      <c r="K89" s="1"/>
      <c r="L89" s="1"/>
      <c r="M89" s="1"/>
      <c r="N89" s="1"/>
      <c r="O89" s="1"/>
      <c r="P89" s="1"/>
      <c r="Q89" s="1"/>
      <c r="R89" s="1"/>
      <c r="S89" s="1"/>
      <c r="T89" s="1"/>
      <c r="U89" s="1"/>
      <c r="V89" s="1"/>
      <c r="W89" s="1"/>
      <c r="X89" s="1"/>
      <c r="Y89" s="1"/>
      <c r="Z89" s="1"/>
    </row>
    <row r="90">
      <c r="A90" s="2"/>
      <c r="B90" s="1"/>
      <c r="C90" s="1"/>
      <c r="D90" s="1"/>
      <c r="E90" s="1"/>
      <c r="F90" s="1"/>
      <c r="G90" s="1"/>
      <c r="H90" s="1"/>
      <c r="I90" s="1"/>
      <c r="J90" s="1"/>
      <c r="K90" s="1"/>
      <c r="L90" s="1"/>
      <c r="M90" s="1"/>
      <c r="N90" s="1"/>
      <c r="O90" s="1"/>
      <c r="P90" s="1"/>
      <c r="Q90" s="1"/>
      <c r="R90" s="1"/>
      <c r="S90" s="1"/>
      <c r="T90" s="1"/>
      <c r="U90" s="1"/>
      <c r="V90" s="1"/>
      <c r="W90" s="1"/>
      <c r="X90" s="1"/>
      <c r="Y90" s="1"/>
      <c r="Z90" s="1"/>
    </row>
    <row r="91">
      <c r="A91" s="2"/>
      <c r="B91" s="1"/>
      <c r="C91" s="1"/>
      <c r="D91" s="1"/>
      <c r="E91" s="1"/>
      <c r="F91" s="1"/>
      <c r="G91" s="1"/>
      <c r="H91" s="1"/>
      <c r="I91" s="1"/>
      <c r="J91" s="1"/>
      <c r="K91" s="1"/>
      <c r="L91" s="1"/>
      <c r="M91" s="1"/>
      <c r="N91" s="1"/>
      <c r="O91" s="1"/>
      <c r="P91" s="1"/>
      <c r="Q91" s="1"/>
      <c r="R91" s="1"/>
      <c r="S91" s="1"/>
      <c r="T91" s="1"/>
      <c r="U91" s="1"/>
      <c r="V91" s="1"/>
      <c r="W91" s="1"/>
      <c r="X91" s="1"/>
      <c r="Y91" s="1"/>
      <c r="Z91" s="1"/>
    </row>
    <row r="92">
      <c r="A92" s="2"/>
      <c r="B92" s="1"/>
      <c r="C92" s="1"/>
      <c r="D92" s="1"/>
      <c r="E92" s="1"/>
      <c r="F92" s="1"/>
      <c r="G92" s="1"/>
      <c r="H92" s="1"/>
      <c r="I92" s="1"/>
      <c r="J92" s="1"/>
      <c r="K92" s="1"/>
      <c r="L92" s="1"/>
      <c r="M92" s="1"/>
      <c r="N92" s="1"/>
      <c r="O92" s="1"/>
      <c r="P92" s="1"/>
      <c r="Q92" s="1"/>
      <c r="R92" s="1"/>
      <c r="S92" s="1"/>
      <c r="T92" s="1"/>
      <c r="U92" s="1"/>
      <c r="V92" s="1"/>
      <c r="W92" s="1"/>
      <c r="X92" s="1"/>
      <c r="Y92" s="1"/>
      <c r="Z92" s="1"/>
    </row>
    <row r="93">
      <c r="A93" s="2"/>
      <c r="B93" s="1"/>
      <c r="C93" s="1"/>
      <c r="D93" s="1"/>
      <c r="E93" s="1"/>
      <c r="F93" s="1"/>
      <c r="G93" s="1"/>
      <c r="H93" s="1"/>
      <c r="I93" s="1"/>
      <c r="J93" s="1"/>
      <c r="K93" s="1"/>
      <c r="L93" s="1"/>
      <c r="M93" s="1"/>
      <c r="N93" s="1"/>
      <c r="O93" s="1"/>
      <c r="P93" s="1"/>
      <c r="Q93" s="1"/>
      <c r="R93" s="1"/>
      <c r="S93" s="1"/>
      <c r="T93" s="1"/>
      <c r="U93" s="1"/>
      <c r="V93" s="1"/>
      <c r="W93" s="1"/>
      <c r="X93" s="1"/>
      <c r="Y93" s="1"/>
      <c r="Z93" s="1"/>
    </row>
    <row r="94">
      <c r="A94" s="2"/>
      <c r="B94" s="1"/>
      <c r="C94" s="1"/>
      <c r="D94" s="1"/>
      <c r="E94" s="1"/>
      <c r="F94" s="1"/>
      <c r="G94" s="1"/>
      <c r="H94" s="1"/>
      <c r="I94" s="1"/>
      <c r="J94" s="1"/>
      <c r="K94" s="1"/>
      <c r="L94" s="1"/>
      <c r="M94" s="1"/>
      <c r="N94" s="1"/>
      <c r="O94" s="1"/>
      <c r="P94" s="1"/>
      <c r="Q94" s="1"/>
      <c r="R94" s="1"/>
      <c r="S94" s="1"/>
      <c r="T94" s="1"/>
      <c r="U94" s="1"/>
      <c r="V94" s="1"/>
      <c r="W94" s="1"/>
      <c r="X94" s="1"/>
      <c r="Y94" s="1"/>
      <c r="Z94" s="1"/>
    </row>
    <row r="95">
      <c r="A95" s="2"/>
      <c r="B95" s="1"/>
      <c r="C95" s="1"/>
      <c r="D95" s="1"/>
      <c r="E95" s="1"/>
      <c r="F95" s="1"/>
      <c r="G95" s="1"/>
      <c r="H95" s="1"/>
      <c r="I95" s="1"/>
      <c r="J95" s="1"/>
      <c r="K95" s="1"/>
      <c r="L95" s="1"/>
      <c r="M95" s="1"/>
      <c r="N95" s="1"/>
      <c r="O95" s="1"/>
      <c r="P95" s="1"/>
      <c r="Q95" s="1"/>
      <c r="R95" s="1"/>
      <c r="S95" s="1"/>
      <c r="T95" s="1"/>
      <c r="U95" s="1"/>
      <c r="V95" s="1"/>
      <c r="W95" s="1"/>
      <c r="X95" s="1"/>
      <c r="Y95" s="1"/>
      <c r="Z95" s="1"/>
    </row>
    <row r="96">
      <c r="A96" s="2"/>
      <c r="B96" s="1"/>
      <c r="C96" s="1"/>
      <c r="D96" s="1"/>
      <c r="E96" s="1"/>
      <c r="F96" s="1"/>
      <c r="G96" s="1"/>
      <c r="H96" s="1"/>
      <c r="I96" s="1"/>
      <c r="J96" s="1"/>
      <c r="K96" s="1"/>
      <c r="L96" s="1"/>
      <c r="M96" s="1"/>
      <c r="N96" s="1"/>
      <c r="O96" s="1"/>
      <c r="P96" s="1"/>
      <c r="Q96" s="1"/>
      <c r="R96" s="1"/>
      <c r="S96" s="1"/>
      <c r="T96" s="1"/>
      <c r="U96" s="1"/>
      <c r="V96" s="1"/>
      <c r="W96" s="1"/>
      <c r="X96" s="1"/>
      <c r="Y96" s="1"/>
      <c r="Z96" s="1"/>
    </row>
    <row r="97">
      <c r="A97" s="2"/>
      <c r="B97" s="1"/>
      <c r="C97" s="1"/>
      <c r="D97" s="1"/>
      <c r="E97" s="1"/>
      <c r="F97" s="1"/>
      <c r="G97" s="1"/>
      <c r="H97" s="1"/>
      <c r="I97" s="1"/>
      <c r="J97" s="1"/>
      <c r="K97" s="1"/>
      <c r="L97" s="1"/>
      <c r="M97" s="1"/>
      <c r="N97" s="1"/>
      <c r="O97" s="1"/>
      <c r="P97" s="1"/>
      <c r="Q97" s="1"/>
      <c r="R97" s="1"/>
      <c r="S97" s="1"/>
      <c r="T97" s="1"/>
      <c r="U97" s="1"/>
      <c r="V97" s="1"/>
      <c r="W97" s="1"/>
      <c r="X97" s="1"/>
      <c r="Y97" s="1"/>
      <c r="Z97" s="1"/>
    </row>
    <row r="98">
      <c r="A98" s="2"/>
      <c r="B98" s="1"/>
      <c r="C98" s="1"/>
      <c r="D98" s="1"/>
      <c r="E98" s="1"/>
      <c r="F98" s="1"/>
      <c r="G98" s="1"/>
      <c r="H98" s="1"/>
      <c r="I98" s="1"/>
      <c r="J98" s="1"/>
      <c r="K98" s="1"/>
      <c r="L98" s="1"/>
      <c r="M98" s="1"/>
      <c r="N98" s="1"/>
      <c r="O98" s="1"/>
      <c r="P98" s="1"/>
      <c r="Q98" s="1"/>
      <c r="R98" s="1"/>
      <c r="S98" s="1"/>
      <c r="T98" s="1"/>
      <c r="U98" s="1"/>
      <c r="V98" s="1"/>
      <c r="W98" s="1"/>
      <c r="X98" s="1"/>
      <c r="Y98" s="1"/>
      <c r="Z98" s="1"/>
    </row>
    <row r="99">
      <c r="A99" s="2"/>
      <c r="B99" s="1"/>
      <c r="C99" s="1"/>
      <c r="D99" s="1"/>
      <c r="E99" s="1"/>
      <c r="F99" s="1"/>
      <c r="G99" s="1"/>
      <c r="H99" s="1"/>
      <c r="I99" s="1"/>
      <c r="J99" s="1"/>
      <c r="K99" s="1"/>
      <c r="L99" s="1"/>
      <c r="M99" s="1"/>
      <c r="N99" s="1"/>
      <c r="O99" s="1"/>
      <c r="P99" s="1"/>
      <c r="Q99" s="1"/>
      <c r="R99" s="1"/>
      <c r="S99" s="1"/>
      <c r="T99" s="1"/>
      <c r="U99" s="1"/>
      <c r="V99" s="1"/>
      <c r="W99" s="1"/>
      <c r="X99" s="1"/>
      <c r="Y99" s="1"/>
      <c r="Z99" s="1"/>
    </row>
    <row r="100">
      <c r="A100" s="2"/>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2"/>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2"/>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2"/>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2"/>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2"/>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2"/>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2"/>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2"/>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2"/>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2"/>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2"/>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2"/>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2"/>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2"/>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2"/>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2"/>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2"/>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E10"/>
    <hyperlink r:id="rId2" ref="F10"/>
    <hyperlink r:id="rId3" ref="G10"/>
    <hyperlink r:id="rId4" ref="H10"/>
    <hyperlink r:id="rId5" ref="I10"/>
  </hyperlinks>
  <drawing r:id="rId6"/>
  <tableParts count="1">
    <tablePart r:id="rId8"/>
  </tableParts>
</worksheet>
</file>